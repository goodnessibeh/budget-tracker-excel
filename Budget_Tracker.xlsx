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Monthly Budget" sheetId="2" r:id="rId2"/>
    <sheet name="January 2026" sheetId="3" r:id="rId3"/>
    <sheet name="February 2026" sheetId="4" r:id="rId4"/>
    <sheet name="March 2026" sheetId="5" r:id="rId5"/>
    <sheet name="April 2026" sheetId="6" r:id="rId6"/>
    <sheet name="May 2026" sheetId="7" r:id="rId7"/>
    <sheet name="June 2026" sheetId="8" r:id="rId8"/>
    <sheet name="July 2026" sheetId="9" r:id="rId9"/>
    <sheet name="August 2026" sheetId="10" r:id="rId10"/>
    <sheet name="September 2026" sheetId="11" r:id="rId11"/>
    <sheet name="October 2026" sheetId="12" r:id="rId12"/>
    <sheet name="November 2026" sheetId="13" r:id="rId13"/>
    <sheet name="December 2026" sheetId="14" r:id="rId14"/>
    <sheet name="Budget vs Actual" sheetId="15" r:id="rId15"/>
    <sheet name="Annual Summary" sheetId="16" r:id="rId16"/>
    <sheet name="Charts &amp; Analytics" sheetId="17" r:id="rId17"/>
    <sheet name="Category Legend" sheetId="18" r:id="rId18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K2" authorId="0">
      <text>
        <r>
          <rPr>
            <sz val="8"/>
            <color indexed="81"/>
            <rFont val="Tahoma"/>
            <family val="2"/>
          </rPr>
          <t>Select a month (January-December) or ALL TIME to view data</t>
        </r>
      </text>
    </comment>
    <comment ref="N2" authorId="0">
      <text>
        <r>
          <rPr>
            <sz val="8"/>
            <color indexed="81"/>
            <rFont val="Tahoma"/>
            <family val="2"/>
          </rPr>
          <t>Select currency: CZK, USD, EUR, NGN</t>
        </r>
      </text>
    </comment>
    <comment ref="C8" authorId="0">
      <text>
        <r>
          <rPr>
            <sz val="8"/>
            <color indexed="81"/>
            <rFont val="Tahoma"/>
            <family val="2"/>
          </rPr>
          <t>Enter your account balance on January 1st</t>
        </r>
      </text>
    </comment>
    <comment ref="C9" authorId="0">
      <text>
        <r>
          <rPr>
            <sz val="8"/>
            <color indexed="81"/>
            <rFont val="Tahoma"/>
            <family val="2"/>
          </rPr>
          <t>Update with your current or year-end balance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6" authorId="0">
      <text>
        <r>
          <rPr>
            <sz val="8"/>
            <color indexed="81"/>
            <rFont val="Tahoma"/>
            <family val="2"/>
          </rPr>
          <t>Enter freelance/side income earned this month</t>
        </r>
      </text>
    </comment>
    <comment ref="I6" authorId="0">
      <text>
        <r>
          <rPr>
            <sz val="8"/>
            <color indexed="81"/>
            <rFont val="Tahoma"/>
            <family val="2"/>
          </rPr>
          <t>Select the currency for this freelance income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G6" authorId="0">
      <text>
        <r>
          <rPr>
            <sz val="8"/>
            <color indexed="81"/>
            <rFont val="Tahoma"/>
            <family val="2"/>
          </rPr>
          <t>Enter freelance/side income earned this month</t>
        </r>
      </text>
    </comment>
    <comment ref="I6" authorId="0">
      <text>
        <r>
          <rPr>
            <sz val="8"/>
            <color indexed="81"/>
            <rFont val="Tahoma"/>
            <family val="2"/>
          </rPr>
          <t>Select the currency for this freelance income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G6" authorId="0">
      <text>
        <r>
          <rPr>
            <sz val="8"/>
            <color indexed="81"/>
            <rFont val="Tahoma"/>
            <family val="2"/>
          </rPr>
          <t>Enter freelance/side income earned this month</t>
        </r>
      </text>
    </comment>
    <comment ref="I6" authorId="0">
      <text>
        <r>
          <rPr>
            <sz val="8"/>
            <color indexed="81"/>
            <rFont val="Tahoma"/>
            <family val="2"/>
          </rPr>
          <t>Select the currency for this freelance income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G6" authorId="0">
      <text>
        <r>
          <rPr>
            <sz val="8"/>
            <color indexed="81"/>
            <rFont val="Tahoma"/>
            <family val="2"/>
          </rPr>
          <t>Enter freelance/side income earned this month</t>
        </r>
      </text>
    </comment>
    <comment ref="I6" authorId="0">
      <text>
        <r>
          <rPr>
            <sz val="8"/>
            <color indexed="81"/>
            <rFont val="Tahoma"/>
            <family val="2"/>
          </rPr>
          <t>Select the currency for this freelance income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G6" authorId="0">
      <text>
        <r>
          <rPr>
            <sz val="8"/>
            <color indexed="81"/>
            <rFont val="Tahoma"/>
            <family val="2"/>
          </rPr>
          <t>Enter freelance/side income earned this month</t>
        </r>
      </text>
    </comment>
    <comment ref="I6" authorId="0">
      <text>
        <r>
          <rPr>
            <sz val="8"/>
            <color indexed="81"/>
            <rFont val="Tahoma"/>
            <family val="2"/>
          </rPr>
          <t>Select the currency for this freelance income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G6" authorId="0">
      <text>
        <r>
          <rPr>
            <sz val="8"/>
            <color indexed="81"/>
            <rFont val="Tahoma"/>
            <family val="2"/>
          </rPr>
          <t>Enter freelance/side income earned this month</t>
        </r>
      </text>
    </comment>
    <comment ref="I6" authorId="0">
      <text>
        <r>
          <rPr>
            <sz val="8"/>
            <color indexed="81"/>
            <rFont val="Tahoma"/>
            <family val="2"/>
          </rPr>
          <t>Select the currency for this freelance income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G6" authorId="0">
      <text>
        <r>
          <rPr>
            <sz val="8"/>
            <color indexed="81"/>
            <rFont val="Tahoma"/>
            <family val="2"/>
          </rPr>
          <t>Enter freelance/side income earned this month</t>
        </r>
      </text>
    </comment>
    <comment ref="I6" authorId="0">
      <text>
        <r>
          <rPr>
            <sz val="8"/>
            <color indexed="81"/>
            <rFont val="Tahoma"/>
            <family val="2"/>
          </rPr>
          <t>Select the currency for this freelance income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G6" authorId="0">
      <text>
        <r>
          <rPr>
            <sz val="8"/>
            <color indexed="81"/>
            <rFont val="Tahoma"/>
            <family val="2"/>
          </rPr>
          <t>Enter freelance/side income earned this month</t>
        </r>
      </text>
    </comment>
    <comment ref="I6" authorId="0">
      <text>
        <r>
          <rPr>
            <sz val="8"/>
            <color indexed="81"/>
            <rFont val="Tahoma"/>
            <family val="2"/>
          </rPr>
          <t>Select the currency for this freelance income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G6" authorId="0">
      <text>
        <r>
          <rPr>
            <sz val="8"/>
            <color indexed="81"/>
            <rFont val="Tahoma"/>
            <family val="2"/>
          </rPr>
          <t>Enter freelance/side income earned this month</t>
        </r>
      </text>
    </comment>
    <comment ref="I6" authorId="0">
      <text>
        <r>
          <rPr>
            <sz val="8"/>
            <color indexed="81"/>
            <rFont val="Tahoma"/>
            <family val="2"/>
          </rPr>
          <t>Select the currency for this freelance income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G6" authorId="0">
      <text>
        <r>
          <rPr>
            <sz val="8"/>
            <color indexed="81"/>
            <rFont val="Tahoma"/>
            <family val="2"/>
          </rPr>
          <t>Enter freelance/side income earned this month</t>
        </r>
      </text>
    </comment>
    <comment ref="I6" authorId="0">
      <text>
        <r>
          <rPr>
            <sz val="8"/>
            <color indexed="81"/>
            <rFont val="Tahoma"/>
            <family val="2"/>
          </rPr>
          <t>Select the currency for this freelance income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G6" authorId="0">
      <text>
        <r>
          <rPr>
            <sz val="8"/>
            <color indexed="81"/>
            <rFont val="Tahoma"/>
            <family val="2"/>
          </rPr>
          <t>Enter freelance/side income earned this month</t>
        </r>
      </text>
    </comment>
    <comment ref="I6" authorId="0">
      <text>
        <r>
          <rPr>
            <sz val="8"/>
            <color indexed="81"/>
            <rFont val="Tahoma"/>
            <family val="2"/>
          </rPr>
          <t>Select the currency for this freelance income</t>
        </r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G6" authorId="0">
      <text>
        <r>
          <rPr>
            <sz val="8"/>
            <color indexed="81"/>
            <rFont val="Tahoma"/>
            <family val="2"/>
          </rPr>
          <t>Enter freelance/side income earned this month</t>
        </r>
      </text>
    </comment>
    <comment ref="I6" authorId="0">
      <text>
        <r>
          <rPr>
            <sz val="8"/>
            <color indexed="81"/>
            <rFont val="Tahoma"/>
            <family val="2"/>
          </rPr>
          <t>Select the currency for this freelance income</t>
        </r>
      </text>
    </comment>
  </commentList>
</comments>
</file>

<file path=xl/sharedStrings.xml><?xml version="1.0" encoding="utf-8"?>
<sst xmlns="http://schemas.openxmlformats.org/spreadsheetml/2006/main" count="1125" uniqueCount="222">
  <si>
    <t>FINANCIAL DASHBOARD 2026</t>
  </si>
  <si>
    <t>January 1st - December 31st, 2026</t>
  </si>
  <si>
    <t>VIEW:</t>
  </si>
  <si>
    <t>ALL TIME</t>
  </si>
  <si>
    <t>CURRENCY:</t>
  </si>
  <si>
    <t>CZK</t>
  </si>
  <si>
    <t>Currency</t>
  </si>
  <si>
    <t>Display</t>
  </si>
  <si>
    <t>USD</t>
  </si>
  <si>
    <t>EUR</t>
  </si>
  <si>
    <t>NGN</t>
  </si>
  <si>
    <t>Tracking Period:</t>
  </si>
  <si>
    <t>January 1, 2026 - December 31, 2026</t>
  </si>
  <si>
    <t>Total Days:</t>
  </si>
  <si>
    <t>ACCOUNT BALANCE TRACKING</t>
  </si>
  <si>
    <t>Opening Balance (Jan 1)</t>
  </si>
  <si>
    <t>Current/Closing Balance</t>
  </si>
  <si>
    <t>Net Change (YTD)</t>
  </si>
  <si>
    <t>Target Savings (Monthly)</t>
  </si>
  <si>
    <t>5,000 - 10,000</t>
  </si>
  <si>
    <t>Financial Discipline Score</t>
  </si>
  <si>
    <t>All values in:</t>
  </si>
  <si>
    <t>KEY FINANCIAL METRICS (YEAR-TO-DATE)</t>
  </si>
  <si>
    <t>Annual Budget</t>
  </si>
  <si>
    <t>YTD Spent</t>
  </si>
  <si>
    <t>Remaining</t>
  </si>
  <si>
    <t>Budget Used</t>
  </si>
  <si>
    <t>YTD Savings</t>
  </si>
  <si>
    <t>Months Active</t>
  </si>
  <si>
    <t>BUDGET ALERT STATUS</t>
  </si>
  <si>
    <t>TOP SPENDING CATEGORIES (YTD)</t>
  </si>
  <si>
    <t>Category</t>
  </si>
  <si>
    <t>Budget</t>
  </si>
  <si>
    <t>Spent</t>
  </si>
  <si>
    <t>Status</t>
  </si>
  <si>
    <t>% Used</t>
  </si>
  <si>
    <t>Rent + Utilities</t>
  </si>
  <si>
    <t>Electricity Deposit</t>
  </si>
  <si>
    <t>Internet &amp; Phone Bills</t>
  </si>
  <si>
    <t>Food &amp; Groceries</t>
  </si>
  <si>
    <t>Investments</t>
  </si>
  <si>
    <t>Date Nights</t>
  </si>
  <si>
    <t>Annual Costs Savings</t>
  </si>
  <si>
    <t>Emergency Buffer</t>
  </si>
  <si>
    <t>MONTHLY EXPENSE SHEETS</t>
  </si>
  <si>
    <t>Each month (Jan-Dec) has pre-populated dates
Navigate to monthly sheets to log daily expenses</t>
  </si>
  <si>
    <t>2026 MONTHLY EXPENSE SUMMARY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</si>
  <si>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</si>
  <si>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</si>
  <si>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</si>
  <si>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</si>
  <si>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</si>
  <si>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</si>
  <si>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</si>
  <si>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</si>
  <si>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</si>
  <si>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</si>
  <si>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</si>
  <si>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</si>
  <si>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INCOME TRACKER (Salary + Freelance)</t>
  </si>
  <si>
    <t>Month</t>
  </si>
  <si>
    <t>Salary</t>
  </si>
  <si>
    <t>Freelance</t>
  </si>
  <si>
    <t>Total Income</t>
  </si>
  <si>
    <t>YTD Freelance</t>
  </si>
  <si>
    <t>TOTAL</t>
  </si>
  <si>
    <t>MONTHLY SURPLUS TRACKER (Budget Savings + Freelance)</t>
  </si>
  <si>
    <t>Savings</t>
  </si>
  <si>
    <t>Total Surplus</t>
  </si>
  <si>
    <t>CUMULATIVE BALANCE SUMMARY</t>
  </si>
  <si>
    <t>Total Salary (YTD):</t>
  </si>
  <si>
    <t>Total Freelance (YTD):</t>
  </si>
  <si>
    <t>Total Income (YTD):</t>
  </si>
  <si>
    <t>Total Expenses (YTD):</t>
  </si>
  <si>
    <t>Net Surplus (YTD):</t>
  </si>
  <si>
    <t>FREELANCE EARNINGS BY CURRENCY</t>
  </si>
  <si>
    <t>Total Earned</t>
  </si>
  <si>
    <t>Months</t>
  </si>
  <si>
    <t>Avg/Month</t>
  </si>
  <si>
    <t>% of Total</t>
  </si>
  <si>
    <t>SELECTED VIEW CATEGORY BREAKDOWN</t>
  </si>
  <si>
    <t>Monthly Budget</t>
  </si>
  <si>
    <t>Selected Spent</t>
  </si>
  <si>
    <t>Personal Care</t>
  </si>
  <si>
    <t>Personal Savings</t>
  </si>
  <si>
    <t>Miscellaneous</t>
  </si>
  <si>
    <t>SELECTED VIEW SUMMARY</t>
  </si>
  <si>
    <t>Selected Period:</t>
  </si>
  <si>
    <t>Total Budget:</t>
  </si>
  <si>
    <t>Total Spent:</t>
  </si>
  <si>
    <t>Net Balance:</t>
  </si>
  <si>
    <t>Budget Utilization:</t>
  </si>
  <si>
    <t>Freelance Income:</t>
  </si>
  <si>
    <t>Total Income:</t>
  </si>
  <si>
    <t>MONTHLY BUDGET</t>
  </si>
  <si>
    <t>#</t>
  </si>
  <si>
    <t>Monthly</t>
  </si>
  <si>
    <t>Annual</t>
  </si>
  <si>
    <t>Color Code</t>
  </si>
  <si>
    <t>TOTAL MONTHLY BUDGET</t>
  </si>
  <si>
    <t>INCOME INFORMATION</t>
  </si>
  <si>
    <t>Combined Monthly Income</t>
  </si>
  <si>
    <t>Target Monthly Savings</t>
  </si>
  <si>
    <t>60,000 - 120,000</t>
  </si>
  <si>
    <t>Target Savings Rate</t>
  </si>
  <si>
    <t>8% - 17%</t>
  </si>
  <si>
    <t>JANUARY 2026 EXPENSE TRACKER</t>
  </si>
  <si>
    <t>January 01 - January 31, 2026 (31 days)</t>
  </si>
  <si>
    <t>MONTH BALANCE &amp; INCOME</t>
  </si>
  <si>
    <t>Opening Balance:</t>
  </si>
  <si>
    <t>Closing Balance:</t>
  </si>
  <si>
    <t>Net Change:</t>
  </si>
  <si>
    <t>INCOME TRACKING</t>
  </si>
  <si>
    <t>Salary (Fixed):</t>
  </si>
  <si>
    <t>Currency:</t>
  </si>
  <si>
    <t>Date</t>
  </si>
  <si>
    <t>Day</t>
  </si>
  <si>
    <t>Description</t>
  </si>
  <si>
    <t>Amount</t>
  </si>
  <si>
    <t>Payment</t>
  </si>
  <si>
    <t>Running Total</t>
  </si>
  <si>
    <t>Thu</t>
  </si>
  <si>
    <t>Fri</t>
  </si>
  <si>
    <t>Sat</t>
  </si>
  <si>
    <t>Sun</t>
  </si>
  <si>
    <t>Mon</t>
  </si>
  <si>
    <t>Tue</t>
  </si>
  <si>
    <t>Wed</t>
  </si>
  <si>
    <t>MONTH TOTAL:</t>
  </si>
  <si>
    <t>January CATEGORY BREAKDOWN</t>
  </si>
  <si>
    <t>FEBRUARY 2026 EXPENSE TRACKER</t>
  </si>
  <si>
    <t>February 01 - February 28, 2026 (28 days)</t>
  </si>
  <si>
    <t>February CATEGORY BREAKDOWN</t>
  </si>
  <si>
    <t>MARCH 2026 EXPENSE TRACKER</t>
  </si>
  <si>
    <t>March 01 - March 31, 2026 (31 days)</t>
  </si>
  <si>
    <t>March CATEGORY BREAKDOWN</t>
  </si>
  <si>
    <t>APRIL 2026 EXPENSE TRACKER</t>
  </si>
  <si>
    <t>April 01 - April 30, 2026 (30 days)</t>
  </si>
  <si>
    <t>April CATEGORY BREAKDOWN</t>
  </si>
  <si>
    <t>MAY 2026 EXPENSE TRACKER</t>
  </si>
  <si>
    <t>May 01 - May 31, 2026 (31 days)</t>
  </si>
  <si>
    <t>May CATEGORY BREAKDOWN</t>
  </si>
  <si>
    <t>JUNE 2026 EXPENSE TRACKER</t>
  </si>
  <si>
    <t>June 01 - June 30, 2026 (30 days)</t>
  </si>
  <si>
    <t>June CATEGORY BREAKDOWN</t>
  </si>
  <si>
    <t>JULY 2026 EXPENSE TRACKER</t>
  </si>
  <si>
    <t>July 01 - July 31, 2026 (31 days)</t>
  </si>
  <si>
    <t>July CATEGORY BREAKDOWN</t>
  </si>
  <si>
    <t>AUGUST 2026 EXPENSE TRACKER</t>
  </si>
  <si>
    <t>August 01 - August 31, 2026 (31 days)</t>
  </si>
  <si>
    <t>August CATEGORY BREAKDOWN</t>
  </si>
  <si>
    <t>SEPTEMBER 2026 EXPENSE TRACKER</t>
  </si>
  <si>
    <t>September 01 - September 30, 2026 (30 days)</t>
  </si>
  <si>
    <t>September CATEGORY BREAKDOWN</t>
  </si>
  <si>
    <t>OCTOBER 2026 EXPENSE TRACKER</t>
  </si>
  <si>
    <t>October 01 - October 31, 2026 (31 days)</t>
  </si>
  <si>
    <t>October CATEGORY BREAKDOWN</t>
  </si>
  <si>
    <t>NOVEMBER 2026 EXPENSE TRACKER</t>
  </si>
  <si>
    <t>November 01 - November 30, 2026 (30 days)</t>
  </si>
  <si>
    <t>November CATEGORY BREAKDOWN</t>
  </si>
  <si>
    <t>DECEMBER 2026 EXPENSE TRACKER</t>
  </si>
  <si>
    <t>December 01 - December 31, 2026 (31 days)</t>
  </si>
  <si>
    <t>December CATEGORY BREAKDOWN</t>
  </si>
  <si>
    <t>BUDGET VS ACTUAL - YEAR 2026</t>
  </si>
  <si>
    <t>January 1st - December 31st</t>
  </si>
  <si>
    <t>YTD Actual</t>
  </si>
  <si>
    <t>% of Spend</t>
  </si>
  <si>
    <t>2026 ANNUAL FINANCIAL SUMMARY</t>
  </si>
  <si>
    <t>Opening Bal.</t>
  </si>
  <si>
    <t>Closing Bal.</t>
  </si>
  <si>
    <t>Expenses</t>
  </si>
  <si>
    <t>Variance</t>
  </si>
  <si>
    <t>Days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</si>
  <si>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</si>
  <si>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</si>
  <si>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</si>
  <si>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</si>
  <si>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</si>
  <si>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</si>
  <si>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</si>
  <si>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</si>
  <si>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</si>
  <si>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</si>
  <si>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</si>
  <si>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YEAR TOTAL</t>
  </si>
  <si>
    <t>VISUAL ANALYTICS &amp; CHARTS</t>
  </si>
  <si>
    <t>BUDGET ALLOCATION OVERVIEW</t>
  </si>
  <si>
    <t>MONTHLY BUDGET VS ACTUAL</t>
  </si>
  <si>
    <t>SPENDING DISTRIBUTION (YTD)</t>
  </si>
  <si>
    <t>BUDGET UTILIZATION BY CATEGORY</t>
  </si>
  <si>
    <t>EXPENSE TREND ANALYSIS</t>
  </si>
  <si>
    <t>MONTHLY VARIANCE</t>
  </si>
  <si>
    <t>CUMULATIVE EXPENSE TRACKING</t>
  </si>
  <si>
    <t>INCOME VS EXPENSES</t>
  </si>
  <si>
    <t>SURPLUS TRACKER</t>
  </si>
  <si>
    <t>CATEGORY &amp; COLOR LEGEND</t>
  </si>
  <si>
    <t>Color</t>
  </si>
  <si>
    <t>Monthly rent and utility bills (water, gas, heating)</t>
  </si>
  <si>
    <t>Electricity deposit/prepayment</t>
  </si>
  <si>
    <t>Internet and phone service bills</t>
  </si>
  <si>
    <t>Grocery shopping and food expenses</t>
  </si>
  <si>
    <t>Savings and investment contributions</t>
  </si>
  <si>
    <t>Entertainment and date activities</t>
  </si>
  <si>
    <t>Savings for annual expenses (insurance, subscriptions)</t>
  </si>
  <si>
    <t>Emergency fund contributions</t>
  </si>
  <si>
    <t>Haircuts, grooming, and personal items</t>
  </si>
  <si>
    <t>Personal savings and future goals</t>
  </si>
  <si>
    <t>Other uncategorized expenses</t>
  </si>
  <si>
    <t>MONTH COLOR CODING</t>
  </si>
  <si>
    <t>Date Range</t>
  </si>
  <si>
    <t>January 1 - January 31, 2026</t>
  </si>
  <si>
    <t>February 1 - February 28, 2026</t>
  </si>
  <si>
    <t>March 1 - March 31, 2026</t>
  </si>
  <si>
    <t>April 1 - April 30, 2026</t>
  </si>
  <si>
    <t>May 1 - May 31, 2026</t>
  </si>
  <si>
    <t>June 1 - June 30, 2026</t>
  </si>
  <si>
    <t>July 1 - July 31, 2026</t>
  </si>
  <si>
    <t>August 1 - August 31, 2026</t>
  </si>
  <si>
    <t>September 1 - September 30, 2026</t>
  </si>
  <si>
    <t>October 1 - October 31, 2026</t>
  </si>
  <si>
    <t>November 1 - November 30, 2026</t>
  </si>
  <si>
    <t>December 1 - December 31, 2026</t>
  </si>
</sst>
</file>

<file path=xl/styles.xml><?xml version="1.0" encoding="utf-8"?>
<styleSheet xmlns="http://schemas.openxmlformats.org/spreadsheetml/2006/main">
  <numFmts count="3">
    <numFmt numFmtId="164" formatCode="#,##0 CZK"/>
    <numFmt numFmtId="165" formatCode="0.0%"/>
    <numFmt numFmtId="166" formatCode="dd-mmm"/>
  </numFmts>
  <fonts count="18">
    <font>
      <sz val="11"/>
      <color theme="1"/>
      <name val="Calibri"/>
      <family val="2"/>
      <scheme val="minor"/>
    </font>
    <font>
      <b/>
      <sz val="24"/>
      <color rgb="FF1E3A5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rgb="FF1E3A5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4A6FA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6A08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F8C8D"/>
      <name val="Calibri"/>
      <family val="2"/>
      <scheme val="minor"/>
    </font>
    <font>
      <b/>
      <sz val="18"/>
      <color rgb="FF1E3A5F"/>
      <name val="Calibri"/>
      <family val="2"/>
      <scheme val="minor"/>
    </font>
    <font>
      <b/>
      <sz val="18"/>
      <color rgb="FF27AE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1"/>
      <color rgb="FF16A085"/>
      <name val="Calibri"/>
      <family val="2"/>
      <scheme val="minor"/>
    </font>
    <font>
      <sz val="11"/>
      <color rgb="FFC0392B"/>
      <name val="Calibri"/>
      <family val="2"/>
      <scheme val="minor"/>
    </font>
    <font>
      <sz val="8"/>
      <color indexed="81"/>
      <name val="Tahoma"/>
      <family val="2"/>
    </font>
  </fonts>
  <fills count="32">
    <fill>
      <patternFill patternType="none"/>
    </fill>
    <fill>
      <patternFill patternType="gray125"/>
    </fill>
    <fill>
      <patternFill patternType="solid">
        <fgColor rgb="FF9B59B6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16A085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D4E6F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95A5A6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91E63"/>
        <bgColor indexed="64"/>
      </patternFill>
    </fill>
    <fill>
      <patternFill patternType="solid">
        <fgColor rgb="FF00BCD4"/>
        <bgColor indexed="64"/>
      </patternFill>
    </fill>
    <fill>
      <patternFill patternType="solid">
        <fgColor rgb="FFFF5722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9C27B0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795548"/>
        <bgColor indexed="64"/>
      </patternFill>
    </fill>
    <fill>
      <patternFill patternType="solid">
        <fgColor rgb="FF607D8B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E5E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4A6FA5"/>
      </left>
      <right style="medium">
        <color rgb="FF4A6FA5"/>
      </right>
      <top style="medium">
        <color rgb="FF4A6FA5"/>
      </top>
      <bottom style="medium">
        <color rgb="FF4A6FA5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2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164" fontId="0" fillId="11" borderId="1" xfId="0" applyNumberFormat="1" applyFill="1" applyBorder="1" applyAlignment="1" applyProtection="1">
      <alignment horizontal="right"/>
      <protection locked="0"/>
    </xf>
    <xf numFmtId="0" fontId="9" fillId="8" borderId="2" xfId="0" applyFont="1" applyFill="1" applyBorder="1" applyAlignment="1">
      <alignment horizontal="center"/>
    </xf>
    <xf numFmtId="164" fontId="9" fillId="8" borderId="2" xfId="0" applyNumberFormat="1" applyFont="1" applyFill="1" applyBorder="1" applyAlignment="1">
      <alignment horizontal="right"/>
    </xf>
    <xf numFmtId="165" fontId="9" fillId="8" borderId="2" xfId="0" applyNumberFormat="1" applyFont="1" applyFill="1" applyBorder="1" applyAlignment="1">
      <alignment horizontal="center"/>
    </xf>
    <xf numFmtId="0" fontId="6" fillId="12" borderId="2" xfId="0" applyFont="1" applyFill="1" applyBorder="1" applyAlignment="1">
      <alignment horizontal="left"/>
    </xf>
    <xf numFmtId="0" fontId="6" fillId="13" borderId="2" xfId="0" applyFont="1" applyFill="1" applyBorder="1" applyAlignment="1">
      <alignment horizontal="left"/>
    </xf>
    <xf numFmtId="0" fontId="9" fillId="14" borderId="1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6" fillId="9" borderId="2" xfId="0" applyFont="1" applyFill="1" applyBorder="1" applyAlignment="1">
      <alignment horizontal="left"/>
    </xf>
    <xf numFmtId="0" fontId="6" fillId="15" borderId="2" xfId="0" applyFont="1" applyFill="1" applyBorder="1" applyAlignment="1">
      <alignment horizontal="left"/>
    </xf>
    <xf numFmtId="0" fontId="6" fillId="16" borderId="2" xfId="0" applyFont="1" applyFill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6" fillId="17" borderId="2" xfId="0" applyFont="1" applyFill="1" applyBorder="1" applyAlignment="1">
      <alignment horizontal="left"/>
    </xf>
    <xf numFmtId="164" fontId="11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18" borderId="2" xfId="0" applyFont="1" applyFill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6" fillId="19" borderId="2" xfId="0" applyFont="1" applyFill="1" applyBorder="1" applyAlignment="1">
      <alignment horizontal="center"/>
    </xf>
    <xf numFmtId="0" fontId="6" fillId="20" borderId="2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6" fillId="24" borderId="2" xfId="0" applyFont="1" applyFill="1" applyBorder="1" applyAlignment="1">
      <alignment horizontal="center"/>
    </xf>
    <xf numFmtId="0" fontId="6" fillId="25" borderId="2" xfId="0" applyFont="1" applyFill="1" applyBorder="1" applyAlignment="1">
      <alignment horizontal="center"/>
    </xf>
    <xf numFmtId="0" fontId="6" fillId="26" borderId="2" xfId="0" applyFont="1" applyFill="1" applyBorder="1" applyAlignment="1">
      <alignment horizontal="center"/>
    </xf>
    <xf numFmtId="0" fontId="6" fillId="27" borderId="2" xfId="0" applyFont="1" applyFill="1" applyBorder="1" applyAlignment="1">
      <alignment horizontal="center"/>
    </xf>
    <xf numFmtId="0" fontId="6" fillId="28" borderId="2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left"/>
    </xf>
    <xf numFmtId="164" fontId="2" fillId="9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164" fontId="13" fillId="14" borderId="1" xfId="0" applyNumberFormat="1" applyFont="1" applyFill="1" applyBorder="1" applyAlignment="1">
      <alignment horizontal="right"/>
    </xf>
    <xf numFmtId="165" fontId="13" fillId="0" borderId="1" xfId="0" applyNumberFormat="1" applyFont="1" applyBorder="1" applyAlignment="1">
      <alignment horizontal="center"/>
    </xf>
    <xf numFmtId="164" fontId="7" fillId="8" borderId="1" xfId="0" applyNumberFormat="1" applyFont="1" applyFill="1" applyBorder="1" applyAlignment="1">
      <alignment horizontal="right"/>
    </xf>
    <xf numFmtId="0" fontId="6" fillId="26" borderId="2" xfId="0" applyFont="1" applyFill="1" applyBorder="1" applyAlignment="1">
      <alignment horizontal="left"/>
    </xf>
    <xf numFmtId="0" fontId="6" fillId="29" borderId="2" xfId="0" applyFont="1" applyFill="1" applyBorder="1" applyAlignment="1">
      <alignment horizontal="left"/>
    </xf>
    <xf numFmtId="0" fontId="6" fillId="28" borderId="2" xfId="0" applyFont="1" applyFill="1" applyBorder="1" applyAlignment="1">
      <alignment horizontal="left"/>
    </xf>
    <xf numFmtId="0" fontId="9" fillId="14" borderId="1" xfId="0" applyFont="1" applyFill="1" applyBorder="1" applyAlignment="1">
      <alignment horizontal="right"/>
    </xf>
    <xf numFmtId="0" fontId="1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4" fillId="7" borderId="2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/>
    </xf>
    <xf numFmtId="0" fontId="15" fillId="5" borderId="2" xfId="0" applyFont="1" applyFill="1" applyBorder="1" applyAlignment="1" applyProtection="1">
      <alignment horizontal="center"/>
      <protection locked="0"/>
    </xf>
    <xf numFmtId="166" fontId="0" fillId="30" borderId="1" xfId="0" applyNumberFormat="1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11" borderId="1" xfId="0" applyFill="1" applyBorder="1" applyAlignment="1" applyProtection="1">
      <alignment horizontal="left"/>
      <protection locked="0"/>
    </xf>
    <xf numFmtId="166" fontId="0" fillId="31" borderId="1" xfId="0" applyNumberFormat="1" applyFill="1" applyBorder="1" applyAlignment="1">
      <alignment horizontal="center"/>
    </xf>
    <xf numFmtId="0" fontId="16" fillId="31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right"/>
    </xf>
    <xf numFmtId="164" fontId="6" fillId="7" borderId="1" xfId="0" applyNumberFormat="1" applyFont="1" applyFill="1" applyBorder="1" applyAlignment="1">
      <alignment horizontal="right"/>
    </xf>
    <xf numFmtId="0" fontId="14" fillId="19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/>
    </xf>
    <xf numFmtId="0" fontId="4" fillId="19" borderId="2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right"/>
    </xf>
    <xf numFmtId="164" fontId="6" fillId="19" borderId="1" xfId="0" applyNumberFormat="1" applyFont="1" applyFill="1" applyBorder="1" applyAlignment="1">
      <alignment horizontal="right"/>
    </xf>
    <xf numFmtId="0" fontId="14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/>
    </xf>
    <xf numFmtId="0" fontId="4" fillId="9" borderId="2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right"/>
    </xf>
    <xf numFmtId="164" fontId="6" fillId="9" borderId="1" xfId="0" applyNumberFormat="1" applyFont="1" applyFill="1" applyBorder="1" applyAlignment="1">
      <alignment horizontal="right"/>
    </xf>
    <xf numFmtId="0" fontId="14" fillId="20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/>
    </xf>
    <xf numFmtId="0" fontId="4" fillId="20" borderId="2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right"/>
    </xf>
    <xf numFmtId="164" fontId="6" fillId="20" borderId="1" xfId="0" applyNumberFormat="1" applyFont="1" applyFill="1" applyBorder="1" applyAlignment="1">
      <alignment horizontal="right"/>
    </xf>
    <xf numFmtId="0" fontId="14" fillId="21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/>
    </xf>
    <xf numFmtId="0" fontId="4" fillId="21" borderId="2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right"/>
    </xf>
    <xf numFmtId="164" fontId="6" fillId="21" borderId="1" xfId="0" applyNumberFormat="1" applyFont="1" applyFill="1" applyBorder="1" applyAlignment="1">
      <alignment horizontal="right"/>
    </xf>
    <xf numFmtId="0" fontId="14" fillId="22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/>
    </xf>
    <xf numFmtId="0" fontId="4" fillId="22" borderId="2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right"/>
    </xf>
    <xf numFmtId="164" fontId="6" fillId="22" borderId="1" xfId="0" applyNumberFormat="1" applyFont="1" applyFill="1" applyBorder="1" applyAlignment="1">
      <alignment horizontal="right"/>
    </xf>
    <xf numFmtId="0" fontId="14" fillId="23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/>
    </xf>
    <xf numFmtId="0" fontId="4" fillId="23" borderId="2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right"/>
    </xf>
    <xf numFmtId="164" fontId="6" fillId="23" borderId="1" xfId="0" applyNumberFormat="1" applyFont="1" applyFill="1" applyBorder="1" applyAlignment="1">
      <alignment horizontal="right"/>
    </xf>
    <xf numFmtId="0" fontId="14" fillId="24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center"/>
    </xf>
    <xf numFmtId="0" fontId="4" fillId="24" borderId="2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right"/>
    </xf>
    <xf numFmtId="164" fontId="6" fillId="24" borderId="1" xfId="0" applyNumberFormat="1" applyFont="1" applyFill="1" applyBorder="1" applyAlignment="1">
      <alignment horizontal="right"/>
    </xf>
    <xf numFmtId="0" fontId="14" fillId="25" borderId="0" xfId="0" applyFont="1" applyFill="1" applyAlignment="1">
      <alignment horizontal="center" vertical="center"/>
    </xf>
    <xf numFmtId="0" fontId="4" fillId="25" borderId="0" xfId="0" applyFont="1" applyFill="1" applyAlignment="1">
      <alignment horizontal="center"/>
    </xf>
    <xf numFmtId="0" fontId="4" fillId="25" borderId="2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right"/>
    </xf>
    <xf numFmtId="164" fontId="6" fillId="25" borderId="1" xfId="0" applyNumberFormat="1" applyFont="1" applyFill="1" applyBorder="1" applyAlignment="1">
      <alignment horizontal="right"/>
    </xf>
    <xf numFmtId="0" fontId="14" fillId="26" borderId="0" xfId="0" applyFont="1" applyFill="1" applyAlignment="1">
      <alignment horizontal="center" vertical="center"/>
    </xf>
    <xf numFmtId="0" fontId="4" fillId="26" borderId="0" xfId="0" applyFont="1" applyFill="1" applyAlignment="1">
      <alignment horizontal="center"/>
    </xf>
    <xf numFmtId="0" fontId="4" fillId="26" borderId="2" xfId="0" applyFont="1" applyFill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right"/>
    </xf>
    <xf numFmtId="164" fontId="6" fillId="26" borderId="1" xfId="0" applyNumberFormat="1" applyFont="1" applyFill="1" applyBorder="1" applyAlignment="1">
      <alignment horizontal="right"/>
    </xf>
    <xf numFmtId="0" fontId="14" fillId="27" borderId="0" xfId="0" applyFont="1" applyFill="1" applyAlignment="1">
      <alignment horizontal="center" vertical="center"/>
    </xf>
    <xf numFmtId="0" fontId="4" fillId="27" borderId="0" xfId="0" applyFont="1" applyFill="1" applyAlignment="1">
      <alignment horizontal="center"/>
    </xf>
    <xf numFmtId="0" fontId="4" fillId="27" borderId="2" xfId="0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right"/>
    </xf>
    <xf numFmtId="164" fontId="6" fillId="27" borderId="1" xfId="0" applyNumberFormat="1" applyFont="1" applyFill="1" applyBorder="1" applyAlignment="1">
      <alignment horizontal="right"/>
    </xf>
    <xf numFmtId="0" fontId="14" fillId="28" borderId="0" xfId="0" applyFont="1" applyFill="1" applyAlignment="1">
      <alignment horizontal="center" vertical="center"/>
    </xf>
    <xf numFmtId="0" fontId="4" fillId="28" borderId="0" xfId="0" applyFont="1" applyFill="1" applyAlignment="1">
      <alignment horizontal="center"/>
    </xf>
    <xf numFmtId="0" fontId="4" fillId="28" borderId="2" xfId="0" applyFont="1" applyFill="1" applyBorder="1" applyAlignment="1">
      <alignment horizontal="center" vertical="center" wrapText="1"/>
    </xf>
    <xf numFmtId="0" fontId="6" fillId="28" borderId="1" xfId="0" applyFont="1" applyFill="1" applyBorder="1" applyAlignment="1">
      <alignment horizontal="right"/>
    </xf>
    <xf numFmtId="164" fontId="6" fillId="28" borderId="1" xfId="0" applyNumberFormat="1" applyFont="1" applyFill="1" applyBorder="1" applyAlignment="1">
      <alignment horizontal="right"/>
    </xf>
    <xf numFmtId="0" fontId="9" fillId="8" borderId="1" xfId="0" applyFont="1" applyFill="1" applyBorder="1" applyAlignment="1">
      <alignment horizontal="center"/>
    </xf>
  </cellXfs>
  <cellStyles count="1">
    <cellStyle name="Normal" xfId="0" builtinId="0"/>
  </cellStyles>
  <dxfs count="17">
    <dxf>
      <font>
        <b/>
        <color rgb="FFFFFFFF"/>
      </font>
      <fill>
        <patternFill>
          <bgColor rgb="FFE74C3C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FFFFFF"/>
      </font>
      <fill>
        <patternFill>
          <bgColor rgb="FFF39C12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FFFFFF"/>
      </font>
      <fill>
        <patternFill>
          <bgColor rgb="FF27AE6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FFFFFF"/>
      </font>
      <fill>
        <patternFill>
          <bgColor rgb="FFE74C3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C039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3498D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27AE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1ABC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FF6B6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34495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95A5A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FF98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2ECC7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607D8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7DC6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#,##0 CZK"/>
      <fill>
        <patternFill>
          <bgColor rgb="FFFADBD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#,##0 CZK"/>
      <fill>
        <patternFill>
          <bgColor rgb="FFD5F5E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Monthly Expense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Expenses</c:v>
          </c:tx>
          <c:spPr>
            <a:ln w="3175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'Annual Summary'!$B$4:$B$15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'Annual Summary'!$E$4:$E$15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Budget</c:v>
          </c:tx>
          <c:spPr>
            <a:ln w="25400">
              <a:solidFill>
                <a:srgbClr val="3498DB"/>
              </a:solidFill>
              <a:prstDash val="dash"/>
            </a:ln>
          </c:spPr>
          <c:marker>
            <c:symbol val="none"/>
          </c:marker>
          <c:cat>
            <c:strRef>
              <c:f>'Annual Summary'!$B$4:$B$15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'Annual Summary'!$F$4:$F$15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Budget Allocation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Budget Allocation</c:v>
          </c:tx>
          <c:dLbls>
            <c:txPr>
              <a:bodyPr/>
              <a:lstStyle/>
              <a:p>
                <a:pPr>
                  <a:defRPr sz="700" baseline="0"/>
                </a:pPr>
                <a:endParaRPr lang="en-US"/>
              </a:p>
            </c:txPr>
            <c:showPercent val="1"/>
          </c:dLbls>
          <c:cat>
            <c:strRef>
              <c:f>'Monthly Budget'!$C$3:$C$13</c:f>
              <c:strCache>
                <c:ptCount val="11"/>
                <c:pt idx="0">
                  <c:v>Rent + Utilities</c:v>
                </c:pt>
                <c:pt idx="1">
                  <c:v>Electricity Deposit</c:v>
                </c:pt>
                <c:pt idx="2">
                  <c:v>Internet &amp; Phone Bills</c:v>
                </c:pt>
                <c:pt idx="3">
                  <c:v>Food &amp; Groceries</c:v>
                </c:pt>
                <c:pt idx="4">
                  <c:v>Investments</c:v>
                </c:pt>
                <c:pt idx="5">
                  <c:v>Date Nights</c:v>
                </c:pt>
                <c:pt idx="6">
                  <c:v>Annual Costs Savings</c:v>
                </c:pt>
                <c:pt idx="7">
                  <c:v>Emergency Buffer</c:v>
                </c:pt>
                <c:pt idx="8">
                  <c:v>Personal Care</c:v>
                </c:pt>
                <c:pt idx="9">
                  <c:v>Personal Savings</c:v>
                </c:pt>
                <c:pt idx="10">
                  <c:v>Miscellaneous</c:v>
                </c:pt>
              </c:strCache>
            </c:strRef>
          </c:cat>
          <c:val>
            <c:numRef>
              <c:f>'Monthly Budget'!$D$3:$D$13</c:f>
              <c:numCache>
                <c:formatCode>General</c:formatCode>
                <c:ptCount val="11"/>
                <c:pt idx="0">
                  <c:v>34300</c:v>
                </c:pt>
                <c:pt idx="1">
                  <c:v>2884</c:v>
                </c:pt>
                <c:pt idx="2">
                  <c:v>1200</c:v>
                </c:pt>
                <c:pt idx="3">
                  <c:v>6000</c:v>
                </c:pt>
                <c:pt idx="4">
                  <c:v>4000</c:v>
                </c:pt>
                <c:pt idx="5">
                  <c:v>1500</c:v>
                </c:pt>
                <c:pt idx="6">
                  <c:v>1816</c:v>
                </c:pt>
                <c:pt idx="7">
                  <c:v>1000</c:v>
                </c:pt>
                <c:pt idx="8">
                  <c:v>1000</c:v>
                </c:pt>
                <c:pt idx="9">
                  <c:v>4300</c:v>
                </c:pt>
                <c:pt idx="10">
                  <c:v>2000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7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Monthly Surplus/Deficit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Surplus/Deficit</c:v>
          </c:tx>
          <c:spPr>
            <a:solidFill>
              <a:srgbClr val="27AE60"/>
            </a:solidFill>
          </c:spPr>
          <c:cat>
            <c:strRef>
              <c:f>'Annual Summary'!$B$4:$B$15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'Annual Summary'!$G$4:$G$15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Calibri"/>
              </a:defRPr>
            </a:pPr>
            <a:r>
              <a:rPr lang="en-US" sz="1400" b="1" baseline="0">
                <a:latin typeface="Calibri"/>
              </a:rPr>
              <a:t>Monthly Budget Allocation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Budget Allocation</c:v>
          </c:tx>
          <c:dLbls>
            <c:txPr>
              <a:bodyPr/>
              <a:lstStyle/>
              <a:p>
                <a:pPr>
                  <a:defRPr sz="900" baseline="0">
                    <a:latin typeface="Calibri"/>
                  </a:defRPr>
                </a:pPr>
                <a:endParaRPr lang="en-US"/>
              </a:p>
            </c:txPr>
            <c:showPercent val="1"/>
          </c:dLbls>
          <c:cat>
            <c:strRef>
              <c:f>'Monthly Budget'!$C$3:$C$13</c:f>
              <c:strCache>
                <c:ptCount val="11"/>
                <c:pt idx="0">
                  <c:v>Rent + Utilities</c:v>
                </c:pt>
                <c:pt idx="1">
                  <c:v>Electricity Deposit</c:v>
                </c:pt>
                <c:pt idx="2">
                  <c:v>Internet &amp; Phone Bills</c:v>
                </c:pt>
                <c:pt idx="3">
                  <c:v>Food &amp; Groceries</c:v>
                </c:pt>
                <c:pt idx="4">
                  <c:v>Investments</c:v>
                </c:pt>
                <c:pt idx="5">
                  <c:v>Date Nights</c:v>
                </c:pt>
                <c:pt idx="6">
                  <c:v>Annual Costs Savings</c:v>
                </c:pt>
                <c:pt idx="7">
                  <c:v>Emergency Buffer</c:v>
                </c:pt>
                <c:pt idx="8">
                  <c:v>Personal Care</c:v>
                </c:pt>
                <c:pt idx="9">
                  <c:v>Personal Savings</c:v>
                </c:pt>
                <c:pt idx="10">
                  <c:v>Miscellaneous</c:v>
                </c:pt>
              </c:strCache>
            </c:strRef>
          </c:cat>
          <c:val>
            <c:numRef>
              <c:f>'Monthly Budget'!$D$3:$D$13</c:f>
              <c:numCache>
                <c:formatCode>General</c:formatCode>
                <c:ptCount val="11"/>
                <c:pt idx="0">
                  <c:v>34300</c:v>
                </c:pt>
                <c:pt idx="1">
                  <c:v>2884</c:v>
                </c:pt>
                <c:pt idx="2">
                  <c:v>1200</c:v>
                </c:pt>
                <c:pt idx="3">
                  <c:v>6000</c:v>
                </c:pt>
                <c:pt idx="4">
                  <c:v>4000</c:v>
                </c:pt>
                <c:pt idx="5">
                  <c:v>1500</c:v>
                </c:pt>
                <c:pt idx="6">
                  <c:v>1816</c:v>
                </c:pt>
                <c:pt idx="7">
                  <c:v>1000</c:v>
                </c:pt>
                <c:pt idx="8">
                  <c:v>1000</c:v>
                </c:pt>
                <c:pt idx="9">
                  <c:v>4300</c:v>
                </c:pt>
                <c:pt idx="10">
                  <c:v>2000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Calibri"/>
              </a:defRPr>
            </a:pPr>
            <a:r>
              <a:rPr lang="en-US" sz="1400" b="1" baseline="0">
                <a:latin typeface="Calibri"/>
              </a:rPr>
              <a:t>Monthly Budget vs Actual Expenses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Actual Expenses</c:v>
          </c:tx>
          <c:spPr>
            <a:solidFill>
              <a:srgbClr val="E74C3C"/>
            </a:solidFill>
          </c:spPr>
          <c:cat>
            <c:strRef>
              <c:f>'Annual Summary'!$B$4:$B$15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'Annual Summary'!$E$4:$E$15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Budget</c:v>
          </c:tx>
          <c:spPr>
            <a:solidFill>
              <a:srgbClr val="3498DB"/>
            </a:solidFill>
          </c:spPr>
          <c:cat>
            <c:strRef>
              <c:f>'Annual Summary'!$B$4:$B$15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'Annual Summary'!$F$4:$F$15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t"/>
      <c:layout/>
      <c:txPr>
        <a:bodyPr/>
        <a:lstStyle/>
        <a:p>
          <a:pPr>
            <a:defRPr sz="1000" baseline="0">
              <a:latin typeface="Calibri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Calibri"/>
              </a:defRPr>
            </a:pPr>
            <a:r>
              <a:rPr lang="en-US" sz="1400" b="1" baseline="0">
                <a:latin typeface="Calibri"/>
              </a:rPr>
              <a:t>YTD Spending by Category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Spending by Category</c:v>
          </c:tx>
          <c:dLbls>
            <c:txPr>
              <a:bodyPr/>
              <a:lstStyle/>
              <a:p>
                <a:pPr>
                  <a:defRPr sz="800" baseline="0">
                    <a:latin typeface="Calibri"/>
                  </a:defRPr>
                </a:pPr>
                <a:endParaRPr lang="en-US"/>
              </a:p>
            </c:txPr>
            <c:showPercent val="1"/>
          </c:dLbls>
          <c:cat>
            <c:strRef>
              <c:f>'Budget vs Actual'!$B$4:$B$14</c:f>
              <c:strCache>
                <c:ptCount val="11"/>
                <c:pt idx="0">
                  <c:v>Rent + Utilities</c:v>
                </c:pt>
                <c:pt idx="1">
                  <c:v>Electricity Deposit</c:v>
                </c:pt>
                <c:pt idx="2">
                  <c:v>Internet &amp; Phone Bills</c:v>
                </c:pt>
                <c:pt idx="3">
                  <c:v>Food &amp; Groceries</c:v>
                </c:pt>
                <c:pt idx="4">
                  <c:v>Investments</c:v>
                </c:pt>
                <c:pt idx="5">
                  <c:v>Date Nights</c:v>
                </c:pt>
                <c:pt idx="6">
                  <c:v>Annual Costs Savings</c:v>
                </c:pt>
                <c:pt idx="7">
                  <c:v>Emergency Buffer</c:v>
                </c:pt>
                <c:pt idx="8">
                  <c:v>Personal Care</c:v>
                </c:pt>
                <c:pt idx="9">
                  <c:v>Personal Savings</c:v>
                </c:pt>
                <c:pt idx="10">
                  <c:v>Miscellaneous</c:v>
                </c:pt>
              </c:strCache>
            </c:strRef>
          </c:cat>
          <c:val>
            <c:numRef>
              <c:f>'Budget vs Actual'!$D$4:$D$14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Calibri"/>
              </a:defRPr>
            </a:pPr>
            <a:r>
              <a:rPr lang="en-US" sz="1400" b="1" baseline="0">
                <a:latin typeface="Calibri"/>
              </a:rPr>
              <a:t>Budget Utilization by Category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% Used</c:v>
          </c:tx>
          <c:spPr>
            <a:solidFill>
              <a:srgbClr val="9B59B6"/>
            </a:solidFill>
          </c:spPr>
          <c:dLbls>
            <c:numFmt formatCode="0%" sourceLinked="0"/>
            <c:txPr>
              <a:bodyPr/>
              <a:lstStyle/>
              <a:p>
                <a:pPr>
                  <a:defRPr sz="900" baseline="0"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'Budget vs Actual'!$B$4:$B$14</c:f>
              <c:strCache>
                <c:ptCount val="11"/>
                <c:pt idx="0">
                  <c:v>Rent + Utilities</c:v>
                </c:pt>
                <c:pt idx="1">
                  <c:v>Electricity Deposit</c:v>
                </c:pt>
                <c:pt idx="2">
                  <c:v>Internet &amp; Phone Bills</c:v>
                </c:pt>
                <c:pt idx="3">
                  <c:v>Food &amp; Groceries</c:v>
                </c:pt>
                <c:pt idx="4">
                  <c:v>Investments</c:v>
                </c:pt>
                <c:pt idx="5">
                  <c:v>Date Nights</c:v>
                </c:pt>
                <c:pt idx="6">
                  <c:v>Annual Costs Savings</c:v>
                </c:pt>
                <c:pt idx="7">
                  <c:v>Emergency Buffer</c:v>
                </c:pt>
                <c:pt idx="8">
                  <c:v>Personal Care</c:v>
                </c:pt>
                <c:pt idx="9">
                  <c:v>Personal Savings</c:v>
                </c:pt>
                <c:pt idx="10">
                  <c:v>Miscellaneous</c:v>
                </c:pt>
              </c:strCache>
            </c:strRef>
          </c:cat>
          <c:val>
            <c:numRef>
              <c:f>'Budget vs Actual'!$F$4:$F$14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1.5"/>
          <c:min val="0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 Used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Calibri"/>
              </a:defRPr>
            </a:pPr>
            <a:r>
              <a:rPr lang="en-US" sz="1400" b="1" baseline="0">
                <a:latin typeface="Calibri"/>
              </a:rPr>
              <a:t>Expense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Expenses</c:v>
          </c:tx>
          <c:spPr>
            <a:ln w="31750">
              <a:solidFill>
                <a:srgbClr val="E74C3C"/>
              </a:solidFill>
            </a:ln>
          </c:spPr>
          <c:marker>
            <c:symbol val="circle"/>
            <c:size val="8"/>
            <c:spPr>
              <a:solidFill>
                <a:srgbClr val="E74C3C"/>
              </a:solidFill>
            </c:spPr>
          </c:marker>
          <c:cat>
            <c:strRef>
              <c:f>'Annual Summary'!$B$4:$B$15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'Annual Summary'!$E$4:$E$15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Budget</c:v>
          </c:tx>
          <c:spPr>
            <a:ln w="31750">
              <a:solidFill>
                <a:srgbClr val="3498DB"/>
              </a:solidFill>
              <a:prstDash val="dash"/>
            </a:ln>
          </c:spPr>
          <c:marker>
            <c:symbol val="diamond"/>
            <c:size val="6"/>
            <c:spPr>
              <a:solidFill>
                <a:srgbClr val="3498DB"/>
              </a:solidFill>
            </c:spPr>
          </c:marker>
          <c:cat>
            <c:strRef>
              <c:f>'Annual Summary'!$B$4:$B$15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'Annual Summary'!$F$4:$F$15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Calibri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Calibri"/>
              </a:defRPr>
            </a:pPr>
            <a:r>
              <a:rPr lang="en-US" sz="1400" b="1" baseline="0">
                <a:latin typeface="Calibri"/>
              </a:rPr>
              <a:t>Monthly Budget Variance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Variance (+ is under budget)</c:v>
          </c:tx>
          <c:spPr>
            <a:solidFill>
              <a:srgbClr val="27AE60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'Annual Summary'!$B$4:$B$15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'Annual Summary'!$G$4:$G$15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Variance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Calibri"/>
              </a:defRPr>
            </a:pPr>
            <a:r>
              <a:rPr lang="en-US" sz="1400" b="1" baseline="0">
                <a:latin typeface="Calibri"/>
              </a:rPr>
              <a:t>Cumulative Monthly Expenses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Cumulative Expenses</c:v>
          </c:tx>
          <c:spPr>
            <a:solidFill>
              <a:srgbClr val="3498DB">
                <a:alpha val="70000"/>
              </a:srgbClr>
            </a:solidFill>
            <a:ln w="25400">
              <a:solidFill>
                <a:srgbClr val="2980B9"/>
              </a:solidFill>
            </a:ln>
          </c:spPr>
          <c:cat>
            <c:strRef>
              <c:f>'Annual Summary'!$B$4:$B$15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'Annual Summary'!$E$4:$E$15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100001"/>
        <c:axId val="50100002"/>
      </c:area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Calibri"/>
              </a:defRPr>
            </a:pPr>
            <a:r>
              <a:rPr lang="en-US" sz="1400" b="1" baseline="0">
                <a:latin typeface="Calibri"/>
              </a:rPr>
              <a:t>Monthly Income vs Expenses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Income</c:v>
          </c:tx>
          <c:spPr>
            <a:solidFill>
              <a:srgbClr val="27AE60"/>
            </a:solidFill>
          </c:spPr>
          <c:cat>
            <c:strRef>
              <c:f>Dashboard!$I$24:$I$35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Dashboard!$L$24:$L$35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Total Expenses</c:v>
          </c:tx>
          <c:spPr>
            <a:solidFill>
              <a:srgbClr val="E74C3C"/>
            </a:solidFill>
          </c:spPr>
          <c:cat>
            <c:strRef>
              <c:f>Dashboard!$B$30:$B$41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Dashboard!$D$30:$D$41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10001"/>
        <c:crosses val="autoZero"/>
        <c:crossBetween val="between"/>
      </c:valAx>
    </c:plotArea>
    <c:legend>
      <c:legendPos val="t"/>
      <c:layout/>
      <c:txPr>
        <a:bodyPr/>
        <a:lstStyle/>
        <a:p>
          <a:pPr>
            <a:defRPr sz="1000" baseline="0">
              <a:latin typeface="Calibri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Calibri"/>
              </a:defRPr>
            </a:pPr>
            <a:r>
              <a:rPr lang="en-US" sz="1400" b="1" baseline="0">
                <a:latin typeface="Calibri"/>
              </a:rPr>
              <a:t>Monthly Surplus Breakdown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Budget Savings</c:v>
          </c:tx>
          <c:spPr>
            <a:solidFill>
              <a:srgbClr val="3498DB"/>
            </a:solidFill>
          </c:spPr>
          <c:cat>
            <c:strRef>
              <c:f>Dashboard!$B$30:$B$41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Dashboard!$E$30:$E$41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Freelance Income</c:v>
          </c:tx>
          <c:spPr>
            <a:solidFill>
              <a:srgbClr val="9B59B6"/>
            </a:solidFill>
          </c:spPr>
          <c:cat>
            <c:strRef>
              <c:f>Dashboard!$B$30:$B$41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Dashboard!$F$30:$F$41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v>Total Surplus</c:v>
          </c:tx>
          <c:spPr>
            <a:ln w="31750">
              <a:solidFill>
                <a:srgbClr val="27AE60"/>
              </a:solidFill>
            </a:ln>
          </c:spPr>
          <c:marker>
            <c:symbol val="circle"/>
            <c:size val="6"/>
            <c:spPr>
              <a:solidFill>
                <a:srgbClr val="27AE60"/>
              </a:solidFill>
            </c:spPr>
          </c:marker>
          <c:cat>
            <c:strRef>
              <c:f>Dashboard!$B$30:$B$41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Dashboard!$G$30:$G$41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20001"/>
        <c:crosses val="autoZero"/>
        <c:crossBetween val="between"/>
      </c:valAx>
    </c:plotArea>
    <c:legend>
      <c:legendPos val="t"/>
      <c:layout/>
      <c:txPr>
        <a:bodyPr/>
        <a:lstStyle/>
        <a:p>
          <a:pPr>
            <a:defRPr sz="1000" baseline="0">
              <a:latin typeface="Calibri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9</xdr:row>
      <xdr:rowOff>0</xdr:rowOff>
    </xdr:from>
    <xdr:to>
      <xdr:col>17</xdr:col>
      <xdr:colOff>1209675</xdr:colOff>
      <xdr:row>21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23</xdr:row>
      <xdr:rowOff>0</xdr:rowOff>
    </xdr:from>
    <xdr:to>
      <xdr:col>17</xdr:col>
      <xdr:colOff>733425</xdr:colOff>
      <xdr:row>35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37</xdr:row>
      <xdr:rowOff>0</xdr:rowOff>
    </xdr:from>
    <xdr:to>
      <xdr:col>17</xdr:col>
      <xdr:colOff>1209675</xdr:colOff>
      <xdr:row>49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5</xdr:col>
      <xdr:colOff>495300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15</xdr:col>
      <xdr:colOff>171450</xdr:colOff>
      <xdr:row>21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5</xdr:col>
      <xdr:colOff>495300</xdr:colOff>
      <xdr:row>42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15</xdr:col>
      <xdr:colOff>171450</xdr:colOff>
      <xdr:row>42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9</xdr:col>
      <xdr:colOff>133350</xdr:colOff>
      <xdr:row>64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66</xdr:row>
      <xdr:rowOff>0</xdr:rowOff>
    </xdr:from>
    <xdr:to>
      <xdr:col>7</xdr:col>
      <xdr:colOff>171450</xdr:colOff>
      <xdr:row>85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66</xdr:row>
      <xdr:rowOff>0</xdr:rowOff>
    </xdr:from>
    <xdr:to>
      <xdr:col>15</xdr:col>
      <xdr:colOff>171450</xdr:colOff>
      <xdr:row>85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88</xdr:row>
      <xdr:rowOff>0</xdr:rowOff>
    </xdr:from>
    <xdr:to>
      <xdr:col>7</xdr:col>
      <xdr:colOff>171450</xdr:colOff>
      <xdr:row>107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0</xdr:colOff>
      <xdr:row>88</xdr:row>
      <xdr:rowOff>0</xdr:rowOff>
    </xdr:from>
    <xdr:to>
      <xdr:col>15</xdr:col>
      <xdr:colOff>171450</xdr:colOff>
      <xdr:row>107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1.vml"/><Relationship Id="rId2" Type="http://schemas.openxmlformats.org/officeDocument/2006/relationships/comments" Target="../comments1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2.vml"/><Relationship Id="rId2" Type="http://schemas.openxmlformats.org/officeDocument/2006/relationships/comments" Target="../comments1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3.vml"/><Relationship Id="rId2" Type="http://schemas.openxmlformats.org/officeDocument/2006/relationships/comments" Target="../comments13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E3A5F"/>
  </sheetPr>
  <dimension ref="B1:AB58"/>
  <sheetViews>
    <sheetView tabSelected="1" workbookViewId="0"/>
  </sheetViews>
  <sheetFormatPr defaultRowHeight="15"/>
  <cols>
    <col min="1" max="1" width="3.7109375" customWidth="1"/>
    <col min="2" max="2" width="30.7109375" customWidth="1"/>
    <col min="3" max="7" width="20.7109375" customWidth="1"/>
    <col min="8" max="8" width="3.7109375" customWidth="1"/>
    <col min="9" max="9" width="28.7109375" customWidth="1"/>
    <col min="10" max="13" width="18.7109375" customWidth="1"/>
    <col min="14" max="15" width="14.7109375" customWidth="1"/>
    <col min="16" max="16" width="18.7109375" customWidth="1"/>
    <col min="17" max="17" width="12.7109375" customWidth="1"/>
    <col min="18" max="18" width="18.7109375" customWidth="1"/>
    <col min="19" max="19" width="14.7109375" customWidth="1"/>
    <col min="27" max="28" width="0" hidden="1" customWidth="1"/>
  </cols>
  <sheetData>
    <row r="1" spans="2:28">
      <c r="AA1" s="1" t="s">
        <v>6</v>
      </c>
      <c r="AB1" s="1" t="s">
        <v>7</v>
      </c>
    </row>
    <row r="2" spans="2:28">
      <c r="B2" s="2" t="s">
        <v>0</v>
      </c>
      <c r="C2" s="2"/>
      <c r="D2" s="2"/>
      <c r="E2" s="2"/>
      <c r="F2" s="2"/>
      <c r="G2" s="2"/>
      <c r="I2" s="3" t="s">
        <v>2</v>
      </c>
      <c r="J2" s="3"/>
      <c r="K2" s="4" t="s">
        <v>3</v>
      </c>
      <c r="L2" s="4"/>
      <c r="M2" s="5" t="s">
        <v>4</v>
      </c>
      <c r="N2" s="6" t="s">
        <v>5</v>
      </c>
      <c r="O2" s="7" t="s">
        <v>75</v>
      </c>
      <c r="P2" s="7"/>
      <c r="Q2" s="7"/>
      <c r="R2" s="7"/>
      <c r="S2" s="7"/>
      <c r="AA2" s="1" t="s">
        <v>5</v>
      </c>
      <c r="AB2" s="1" t="s">
        <v>5</v>
      </c>
    </row>
    <row r="3" spans="2:28">
      <c r="B3" s="8" t="s">
        <v>1</v>
      </c>
      <c r="C3" s="8"/>
      <c r="D3" s="8"/>
      <c r="E3" s="8"/>
      <c r="F3" s="8"/>
      <c r="G3" s="8"/>
      <c r="O3" s="9" t="s">
        <v>6</v>
      </c>
      <c r="P3" s="9" t="s">
        <v>76</v>
      </c>
      <c r="Q3" s="9" t="s">
        <v>77</v>
      </c>
      <c r="R3" s="9" t="s">
        <v>78</v>
      </c>
      <c r="S3" s="9" t="s">
        <v>79</v>
      </c>
      <c r="AA3" s="1" t="s">
        <v>8</v>
      </c>
      <c r="AB3" s="1" t="s">
        <v>8</v>
      </c>
    </row>
    <row r="4" spans="2:28">
      <c r="O4" s="10" t="s">
        <v>5</v>
      </c>
      <c r="P4" s="11">
        <f>IF('January 2026'!I6="CZK",'January 2026'!G6,0)+IF('February 2026'!I6="CZK",'February 2026'!G6,0)+IF('March 2026'!I6="CZK",'March 2026'!G6,0)+IF('April 2026'!I6="CZK",'April 2026'!G6,0)+IF('May 2026'!I6="CZK",'May 2026'!G6,0)+IF('June 2026'!I6="CZK",'June 2026'!G6,0)+IF('July 2026'!I6="CZK",'July 2026'!G6,0)+IF('August 2026'!I6="CZK",'August 2026'!G6,0)+IF('September 2026'!I6="CZK",'September 2026'!G6,0)+IF('October 2026'!I6="CZK",'October 2026'!G6,0)+IF('November 2026'!I6="CZK",'November 2026'!G6,0)+IF('December 2026'!I6="CZK",'December 2026'!G6,0)</f>
        <v>0</v>
      </c>
      <c r="Q4" s="12">
        <f>IF('January 2026'!I6="CZK",1,0)+IF('February 2026'!I6="CZK",1,0)+IF('March 2026'!I6="CZK",1,0)+IF('April 2026'!I6="CZK",1,0)+IF('May 2026'!I6="CZK",1,0)+IF('June 2026'!I6="CZK",1,0)+IF('July 2026'!I6="CZK",1,0)+IF('August 2026'!I6="CZK",1,0)+IF('September 2026'!I6="CZK",1,0)+IF('October 2026'!I6="CZK",1,0)+IF('November 2026'!I6="CZK",1,0)+IF('December 2026'!I6="CZK",1,0)</f>
        <v>0</v>
      </c>
      <c r="R4" s="11">
        <f>IFERROR(IF(Q4&gt;0,P4/Q4,0),0)</f>
        <v>0</v>
      </c>
      <c r="S4" s="13">
        <f>IFERROR(IF(P8&gt;0,P4/P8,0),0)</f>
        <v>0</v>
      </c>
      <c r="AA4" s="1" t="s">
        <v>9</v>
      </c>
      <c r="AB4" s="1" t="s">
        <v>9</v>
      </c>
    </row>
    <row r="5" spans="2:28">
      <c r="B5" s="9" t="s">
        <v>11</v>
      </c>
      <c r="C5" s="14" t="s">
        <v>12</v>
      </c>
      <c r="D5" s="14"/>
      <c r="E5" s="14"/>
      <c r="F5" s="9" t="s">
        <v>13</v>
      </c>
      <c r="G5" s="14">
        <v>365</v>
      </c>
      <c r="I5" s="1" t="s">
        <v>21</v>
      </c>
      <c r="J5" s="15">
        <f>$N$2</f>
        <v>0</v>
      </c>
      <c r="O5" s="16" t="s">
        <v>8</v>
      </c>
      <c r="P5" s="11">
        <f>IF('January 2026'!I6="USD",'January 2026'!G6,0)+IF('February 2026'!I6="USD",'February 2026'!G6,0)+IF('March 2026'!I6="USD",'March 2026'!G6,0)+IF('April 2026'!I6="USD",'April 2026'!G6,0)+IF('May 2026'!I6="USD",'May 2026'!G6,0)+IF('June 2026'!I6="USD",'June 2026'!G6,0)+IF('July 2026'!I6="USD",'July 2026'!G6,0)+IF('August 2026'!I6="USD",'August 2026'!G6,0)+IF('September 2026'!I6="USD",'September 2026'!G6,0)+IF('October 2026'!I6="USD",'October 2026'!G6,0)+IF('November 2026'!I6="USD",'November 2026'!G6,0)+IF('December 2026'!I6="USD",'December 2026'!G6,0)</f>
        <v>0</v>
      </c>
      <c r="Q5" s="12">
        <f>IF('January 2026'!I6="USD",1,0)+IF('February 2026'!I6="USD",1,0)+IF('March 2026'!I6="USD",1,0)+IF('April 2026'!I6="USD",1,0)+IF('May 2026'!I6="USD",1,0)+IF('June 2026'!I6="USD",1,0)+IF('July 2026'!I6="USD",1,0)+IF('August 2026'!I6="USD",1,0)+IF('September 2026'!I6="USD",1,0)+IF('October 2026'!I6="USD",1,0)+IF('November 2026'!I6="USD",1,0)+IF('December 2026'!I6="USD",1,0)</f>
        <v>0</v>
      </c>
      <c r="R5" s="11">
        <f>IFERROR(IF(Q5&gt;0,P5/Q5,0),0)</f>
        <v>0</v>
      </c>
      <c r="S5" s="13">
        <f>IFERROR(IF(P8&gt;0,P5/P8,0),0)</f>
        <v>0</v>
      </c>
      <c r="AA5" s="1" t="s">
        <v>10</v>
      </c>
      <c r="AB5" s="1" t="s">
        <v>10</v>
      </c>
    </row>
    <row r="6" spans="2:28">
      <c r="O6" s="17" t="s">
        <v>9</v>
      </c>
      <c r="P6" s="11">
        <f>IF('January 2026'!I6="EUR",'January 2026'!G6,0)+IF('February 2026'!I6="EUR",'February 2026'!G6,0)+IF('March 2026'!I6="EUR",'March 2026'!G6,0)+IF('April 2026'!I6="EUR",'April 2026'!G6,0)+IF('May 2026'!I6="EUR",'May 2026'!G6,0)+IF('June 2026'!I6="EUR",'June 2026'!G6,0)+IF('July 2026'!I6="EUR",'July 2026'!G6,0)+IF('August 2026'!I6="EUR",'August 2026'!G6,0)+IF('September 2026'!I6="EUR",'September 2026'!G6,0)+IF('October 2026'!I6="EUR",'October 2026'!G6,0)+IF('November 2026'!I6="EUR",'November 2026'!G6,0)+IF('December 2026'!I6="EUR",'December 2026'!G6,0)</f>
        <v>0</v>
      </c>
      <c r="Q6" s="12">
        <f>IF('January 2026'!I6="EUR",1,0)+IF('February 2026'!I6="EUR",1,0)+IF('March 2026'!I6="EUR",1,0)+IF('April 2026'!I6="EUR",1,0)+IF('May 2026'!I6="EUR",1,0)+IF('June 2026'!I6="EUR",1,0)+IF('July 2026'!I6="EUR",1,0)+IF('August 2026'!I6="EUR",1,0)+IF('September 2026'!I6="EUR",1,0)+IF('October 2026'!I6="EUR",1,0)+IF('November 2026'!I6="EUR",1,0)+IF('December 2026'!I6="EUR",1,0)</f>
        <v>0</v>
      </c>
      <c r="R6" s="11">
        <f>IFERROR(IF(Q6&gt;0,P6/Q6,0),0)</f>
        <v>0</v>
      </c>
      <c r="S6" s="13">
        <f>IFERROR(IF(P8&gt;0,P6/P8,0),0)</f>
        <v>0</v>
      </c>
    </row>
    <row r="7" spans="2:28">
      <c r="B7" s="18" t="s">
        <v>14</v>
      </c>
      <c r="C7" s="18"/>
      <c r="D7" s="18"/>
      <c r="I7" s="18" t="s">
        <v>30</v>
      </c>
      <c r="J7" s="18"/>
      <c r="K7" s="18"/>
      <c r="L7" s="18"/>
      <c r="M7" s="18"/>
      <c r="O7" s="19" t="s">
        <v>10</v>
      </c>
      <c r="P7" s="11">
        <f>IF('January 2026'!I6="NGN",'January 2026'!G6,0)+IF('February 2026'!I6="NGN",'February 2026'!G6,0)+IF('March 2026'!I6="NGN",'March 2026'!G6,0)+IF('April 2026'!I6="NGN",'April 2026'!G6,0)+IF('May 2026'!I6="NGN",'May 2026'!G6,0)+IF('June 2026'!I6="NGN",'June 2026'!G6,0)+IF('July 2026'!I6="NGN",'July 2026'!G6,0)+IF('August 2026'!I6="NGN",'August 2026'!G6,0)+IF('September 2026'!I6="NGN",'September 2026'!G6,0)+IF('October 2026'!I6="NGN",'October 2026'!G6,0)+IF('November 2026'!I6="NGN",'November 2026'!G6,0)+IF('December 2026'!I6="NGN",'December 2026'!G6,0)</f>
        <v>0</v>
      </c>
      <c r="Q7" s="12">
        <f>IF('January 2026'!I6="NGN",1,0)+IF('February 2026'!I6="NGN",1,0)+IF('March 2026'!I6="NGN",1,0)+IF('April 2026'!I6="NGN",1,0)+IF('May 2026'!I6="NGN",1,0)+IF('June 2026'!I6="NGN",1,0)+IF('July 2026'!I6="NGN",1,0)+IF('August 2026'!I6="NGN",1,0)+IF('September 2026'!I6="NGN",1,0)+IF('October 2026'!I6="NGN",1,0)+IF('November 2026'!I6="NGN",1,0)+IF('December 2026'!I6="NGN",1,0)</f>
        <v>0</v>
      </c>
      <c r="R7" s="11">
        <f>IFERROR(IF(Q7&gt;0,P7/Q7,0),0)</f>
        <v>0</v>
      </c>
      <c r="S7" s="13">
        <f>IFERROR(IF(P8&gt;0,P7/P8,0),0)</f>
        <v>0</v>
      </c>
    </row>
    <row r="8" spans="2:28">
      <c r="B8" s="1" t="s">
        <v>15</v>
      </c>
      <c r="C8" s="20">
        <v>0</v>
      </c>
      <c r="I8" s="9" t="s">
        <v>31</v>
      </c>
      <c r="J8" s="9" t="s">
        <v>32</v>
      </c>
      <c r="K8" s="9" t="s">
        <v>33</v>
      </c>
      <c r="L8" s="9" t="s">
        <v>34</v>
      </c>
      <c r="M8" s="9" t="s">
        <v>35</v>
      </c>
      <c r="O8" s="21" t="s">
        <v>65</v>
      </c>
      <c r="P8" s="22">
        <f>SUM(P4:P7)</f>
        <v>0</v>
      </c>
      <c r="Q8" s="21">
        <f>SUM(Q4:Q7)</f>
        <v>0</v>
      </c>
      <c r="R8" s="22">
        <f>IFERROR(IF(Q8&gt;0,P8/Q8,0),0)</f>
        <v>0</v>
      </c>
      <c r="S8" s="23">
        <f>IFERROR(SUM(S4:S7),0)</f>
        <v>0</v>
      </c>
    </row>
    <row r="9" spans="2:28">
      <c r="B9" s="1" t="s">
        <v>16</v>
      </c>
      <c r="C9" s="20">
        <v>0</v>
      </c>
      <c r="I9" s="24" t="s">
        <v>36</v>
      </c>
      <c r="J9" s="11">
        <f>'Monthly Budget'!D3*12</f>
        <v>0</v>
      </c>
      <c r="K9" s="11">
        <f>'Budget vs Actual'!D3</f>
        <v>0</v>
      </c>
      <c r="L9" s="12">
        <f>IF(K9&gt;J9,"Over",IF(K9&gt;J9*0.9,"Warn","OK"))</f>
        <v>0</v>
      </c>
      <c r="M9" s="13">
        <f>IFERROR(IF(J9&gt;0,K9/J9,0),0)</f>
        <v>0</v>
      </c>
    </row>
    <row r="10" spans="2:28">
      <c r="B10" s="1" t="s">
        <v>17</v>
      </c>
      <c r="C10" s="22">
        <f>C9-C8</f>
        <v>0</v>
      </c>
      <c r="I10" s="25" t="s">
        <v>37</v>
      </c>
      <c r="J10" s="11">
        <f>'Monthly Budget'!D4*12</f>
        <v>0</v>
      </c>
      <c r="K10" s="11">
        <f>'Budget vs Actual'!D4</f>
        <v>0</v>
      </c>
      <c r="L10" s="12">
        <f>IF(K10&gt;J10,"Over",IF(K10&gt;J10*0.9,"Warn","OK"))</f>
        <v>0</v>
      </c>
      <c r="M10" s="13">
        <f>IFERROR(IF(J10&gt;0,K10/J10,0),0)</f>
        <v>0</v>
      </c>
    </row>
    <row r="11" spans="2:28">
      <c r="B11" s="1" t="s">
        <v>18</v>
      </c>
      <c r="C11" s="26" t="s">
        <v>19</v>
      </c>
      <c r="I11" s="27" t="s">
        <v>38</v>
      </c>
      <c r="J11" s="11">
        <f>'Monthly Budget'!D5*12</f>
        <v>0</v>
      </c>
      <c r="K11" s="11">
        <f>'Budget vs Actual'!D5</f>
        <v>0</v>
      </c>
      <c r="L11" s="12">
        <f>IF(K11&gt;J11,"Over",IF(K11&gt;J11*0.9,"Warn","OK"))</f>
        <v>0</v>
      </c>
      <c r="M11" s="13">
        <f>IFERROR(IF(J11&gt;0,K11/J11,0),0)</f>
        <v>0</v>
      </c>
    </row>
    <row r="12" spans="2:28">
      <c r="B12" s="1" t="s">
        <v>20</v>
      </c>
      <c r="C12" s="28">
        <f>IF(C8=0,"Enter Opening Balance",IF(C10&gt;=10000,"Excellent",IF(C10&gt;=5000,"Good","Needs Attention")))</f>
        <v>0</v>
      </c>
      <c r="I12" s="29" t="s">
        <v>39</v>
      </c>
      <c r="J12" s="11">
        <f>'Monthly Budget'!D6*12</f>
        <v>0</v>
      </c>
      <c r="K12" s="11">
        <f>'Budget vs Actual'!D6</f>
        <v>0</v>
      </c>
      <c r="L12" s="12">
        <f>IF(K12&gt;J12,"Over",IF(K12&gt;J12*0.9,"Warn","OK"))</f>
        <v>0</v>
      </c>
      <c r="M12" s="13">
        <f>IFERROR(IF(J12&gt;0,K12/J12,0),0)</f>
        <v>0</v>
      </c>
    </row>
    <row r="13" spans="2:28">
      <c r="I13" s="30" t="s">
        <v>40</v>
      </c>
      <c r="J13" s="11">
        <f>'Monthly Budget'!D7*12</f>
        <v>0</v>
      </c>
      <c r="K13" s="11">
        <f>'Budget vs Actual'!D7</f>
        <v>0</v>
      </c>
      <c r="L13" s="12">
        <f>IF(K13&gt;J13,"Over",IF(K13&gt;J13*0.9,"Warn","OK"))</f>
        <v>0</v>
      </c>
      <c r="M13" s="13">
        <f>IFERROR(IF(J13&gt;0,K13/J13,0),0)</f>
        <v>0</v>
      </c>
    </row>
    <row r="14" spans="2:28">
      <c r="B14" s="18" t="s">
        <v>22</v>
      </c>
      <c r="C14" s="18"/>
      <c r="D14" s="18"/>
      <c r="E14" s="18"/>
      <c r="F14" s="18"/>
      <c r="G14" s="18"/>
      <c r="I14" s="31" t="s">
        <v>41</v>
      </c>
      <c r="J14" s="11">
        <f>'Monthly Budget'!D8*12</f>
        <v>0</v>
      </c>
      <c r="K14" s="11">
        <f>'Budget vs Actual'!D8</f>
        <v>0</v>
      </c>
      <c r="L14" s="12">
        <f>IF(K14&gt;J14,"Over",IF(K14&gt;J14*0.9,"Warn","OK"))</f>
        <v>0</v>
      </c>
      <c r="M14" s="13">
        <f>IFERROR(IF(J14&gt;0,K14/J14,0),0)</f>
        <v>0</v>
      </c>
    </row>
    <row r="15" spans="2:28">
      <c r="B15" s="32" t="s">
        <v>23</v>
      </c>
      <c r="C15" s="32" t="s">
        <v>24</v>
      </c>
      <c r="D15" s="32" t="s">
        <v>25</v>
      </c>
      <c r="E15" s="32" t="s">
        <v>26</v>
      </c>
      <c r="F15" s="32" t="s">
        <v>27</v>
      </c>
      <c r="G15" s="32" t="s">
        <v>28</v>
      </c>
      <c r="I15" s="33" t="s">
        <v>42</v>
      </c>
      <c r="J15" s="11">
        <f>'Monthly Budget'!D9*12</f>
        <v>0</v>
      </c>
      <c r="K15" s="11">
        <f>'Budget vs Actual'!D9</f>
        <v>0</v>
      </c>
      <c r="L15" s="12">
        <f>IF(K15&gt;J15,"Over",IF(K15&gt;J15*0.9,"Warn","OK"))</f>
        <v>0</v>
      </c>
      <c r="M15" s="13">
        <f>IFERROR(IF(J15&gt;0,K15/J15,0),0)</f>
        <v>0</v>
      </c>
    </row>
    <row r="16" spans="2:28">
      <c r="B16" s="34">
        <f>IFERROR('Monthly Budget'!D14*12,0)</f>
        <v>0</v>
      </c>
      <c r="C16" s="34">
        <f>IFERROR('Annual Summary'!E16,0)</f>
        <v>0</v>
      </c>
      <c r="D16" s="35">
        <f>IFERROR(B16-C16,0)</f>
        <v>0</v>
      </c>
      <c r="E16" s="36">
        <f>IFERROR(IF(B16&gt;0,C16/B16,0),0)</f>
        <v>0</v>
      </c>
      <c r="F16" s="35">
        <f>IFERROR(C10,0)</f>
        <v>0</v>
      </c>
      <c r="G16" s="37">
        <f>IFERROR(COUNTIF('Annual Summary'!E4:E15,"&gt;0"),0)</f>
        <v>0</v>
      </c>
      <c r="I16" s="38" t="s">
        <v>43</v>
      </c>
      <c r="J16" s="11">
        <f>'Monthly Budget'!D10*12</f>
        <v>0</v>
      </c>
      <c r="K16" s="11">
        <f>'Budget vs Actual'!D10</f>
        <v>0</v>
      </c>
      <c r="L16" s="12">
        <f>IF(K16&gt;J16,"Over",IF(K16&gt;J16*0.9,"Warn","OK"))</f>
        <v>0</v>
      </c>
      <c r="M16" s="13">
        <f>IFERROR(IF(J16&gt;0,K16/J16,0),0)</f>
        <v>0</v>
      </c>
    </row>
    <row r="18" spans="2:13">
      <c r="B18" s="18" t="s">
        <v>29</v>
      </c>
      <c r="C18" s="18"/>
      <c r="D18" s="18"/>
      <c r="E18" s="18"/>
      <c r="F18" s="18"/>
      <c r="G18" s="18"/>
      <c r="I18" s="18" t="s">
        <v>44</v>
      </c>
      <c r="J18" s="18"/>
      <c r="K18" s="18"/>
      <c r="L18" s="18"/>
      <c r="M18" s="18"/>
    </row>
    <row r="19" spans="2:13">
      <c r="B19" s="39">
        <f>IF(E16&gt;1,"ALERT: You have exceeded your annual budget! Review expenses immediately.",IF(E16&gt;0.9,"WARNING: You have used over 90% of your annual budget.",IF(E16&gt;0.75,"CAUTION: You have used over 75% of your annual budget.","ON TRACK: Your spending is within budget.")))</f>
        <v>0</v>
      </c>
      <c r="C19" s="40"/>
      <c r="D19" s="40"/>
      <c r="E19" s="40"/>
      <c r="F19" s="40"/>
      <c r="G19" s="40"/>
      <c r="I19" s="41" t="s">
        <v>45</v>
      </c>
      <c r="J19" s="41"/>
      <c r="K19" s="41"/>
      <c r="L19" s="41"/>
      <c r="M19" s="41"/>
    </row>
    <row r="20" spans="2:13">
      <c r="B20" s="40"/>
      <c r="C20" s="40"/>
      <c r="D20" s="40"/>
      <c r="E20" s="40"/>
      <c r="F20" s="40"/>
      <c r="G20" s="40"/>
      <c r="I20" s="41"/>
      <c r="J20" s="41"/>
      <c r="K20" s="41"/>
      <c r="L20" s="41"/>
      <c r="M20" s="41"/>
    </row>
    <row r="22" spans="2:13">
      <c r="B22" s="18" t="s">
        <v>46</v>
      </c>
      <c r="C22" s="18"/>
      <c r="D22" s="18"/>
      <c r="E22" s="18"/>
      <c r="F22" s="18"/>
      <c r="G22" s="18"/>
      <c r="I22" s="18" t="s">
        <v>59</v>
      </c>
      <c r="J22" s="18"/>
      <c r="K22" s="18"/>
      <c r="L22" s="18"/>
      <c r="M22" s="18"/>
    </row>
    <row r="23" spans="2:13">
      <c r="B23" s="10" t="s">
        <v>47</v>
      </c>
      <c r="C23" s="42" t="s">
        <v>48</v>
      </c>
      <c r="D23" s="16" t="s">
        <v>49</v>
      </c>
      <c r="E23" s="43" t="s">
        <v>50</v>
      </c>
      <c r="F23" s="44" t="s">
        <v>51</v>
      </c>
      <c r="G23" s="45" t="s">
        <v>52</v>
      </c>
      <c r="I23" s="9" t="s">
        <v>60</v>
      </c>
      <c r="J23" s="9" t="s">
        <v>61</v>
      </c>
      <c r="K23" s="9" t="s">
        <v>62</v>
      </c>
      <c r="L23" s="9" t="s">
        <v>63</v>
      </c>
      <c r="M23" s="9" t="s">
        <v>64</v>
      </c>
    </row>
    <row r="24" spans="2:13">
      <c r="B24" s="11">
        <f>'January 2026'!G41</f>
        <v>0</v>
      </c>
      <c r="C24" s="11">
        <f>'February 2026'!G38</f>
        <v>0</v>
      </c>
      <c r="D24" s="11">
        <f>'March 2026'!G41</f>
        <v>0</v>
      </c>
      <c r="E24" s="11">
        <f>'April 2026'!G40</f>
        <v>0</v>
      </c>
      <c r="F24" s="11">
        <f>'May 2026'!G41</f>
        <v>0</v>
      </c>
      <c r="G24" s="11">
        <f>'June 2026'!G40</f>
        <v>0</v>
      </c>
      <c r="I24" s="10" t="s">
        <v>47</v>
      </c>
      <c r="J24" s="11">
        <f>'January 2026'!G5</f>
        <v>0</v>
      </c>
      <c r="K24" s="11">
        <f>'January 2026'!G6</f>
        <v>0</v>
      </c>
      <c r="L24" s="11">
        <f>'January 2026'!G7</f>
        <v>0</v>
      </c>
      <c r="M24" s="11">
        <f>K24</f>
        <v>0</v>
      </c>
    </row>
    <row r="25" spans="2:13">
      <c r="B25" s="46" t="s">
        <v>53</v>
      </c>
      <c r="C25" s="47" t="s">
        <v>54</v>
      </c>
      <c r="D25" s="48" t="s">
        <v>55</v>
      </c>
      <c r="E25" s="49" t="s">
        <v>56</v>
      </c>
      <c r="F25" s="50" t="s">
        <v>57</v>
      </c>
      <c r="G25" s="51" t="s">
        <v>58</v>
      </c>
      <c r="I25" s="42" t="s">
        <v>48</v>
      </c>
      <c r="J25" s="11">
        <f>'February 2026'!G5</f>
        <v>0</v>
      </c>
      <c r="K25" s="11">
        <f>'February 2026'!G6</f>
        <v>0</v>
      </c>
      <c r="L25" s="11">
        <f>'February 2026'!G7</f>
        <v>0</v>
      </c>
      <c r="M25" s="11">
        <f>M24+K25</f>
        <v>0</v>
      </c>
    </row>
    <row r="26" spans="2:13">
      <c r="B26" s="11">
        <f>'July 2026'!G41</f>
        <v>0</v>
      </c>
      <c r="C26" s="11">
        <f>'August 2026'!G41</f>
        <v>0</v>
      </c>
      <c r="D26" s="11">
        <f>'September 2026'!G40</f>
        <v>0</v>
      </c>
      <c r="E26" s="11">
        <f>'October 2026'!G41</f>
        <v>0</v>
      </c>
      <c r="F26" s="11">
        <f>'November 2026'!G40</f>
        <v>0</v>
      </c>
      <c r="G26" s="11">
        <f>'December 2026'!G41</f>
        <v>0</v>
      </c>
      <c r="I26" s="16" t="s">
        <v>49</v>
      </c>
      <c r="J26" s="11">
        <f>'March 2026'!G5</f>
        <v>0</v>
      </c>
      <c r="K26" s="11">
        <f>'March 2026'!G6</f>
        <v>0</v>
      </c>
      <c r="L26" s="11">
        <f>'March 2026'!G7</f>
        <v>0</v>
      </c>
      <c r="M26" s="11">
        <f>M25+K26</f>
        <v>0</v>
      </c>
    </row>
    <row r="27" spans="2:13">
      <c r="I27" s="43" t="s">
        <v>50</v>
      </c>
      <c r="J27" s="11">
        <f>'April 2026'!G5</f>
        <v>0</v>
      </c>
      <c r="K27" s="11">
        <f>'April 2026'!G6</f>
        <v>0</v>
      </c>
      <c r="L27" s="11">
        <f>'April 2026'!G7</f>
        <v>0</v>
      </c>
      <c r="M27" s="11">
        <f>M26+K27</f>
        <v>0</v>
      </c>
    </row>
    <row r="28" spans="2:13">
      <c r="B28" s="18" t="s">
        <v>66</v>
      </c>
      <c r="C28" s="18"/>
      <c r="D28" s="18"/>
      <c r="E28" s="18"/>
      <c r="F28" s="18"/>
      <c r="G28" s="18"/>
      <c r="I28" s="44" t="s">
        <v>51</v>
      </c>
      <c r="J28" s="11">
        <f>'May 2026'!G5</f>
        <v>0</v>
      </c>
      <c r="K28" s="11">
        <f>'May 2026'!G6</f>
        <v>0</v>
      </c>
      <c r="L28" s="11">
        <f>'May 2026'!G7</f>
        <v>0</v>
      </c>
      <c r="M28" s="11">
        <f>M27+K28</f>
        <v>0</v>
      </c>
    </row>
    <row r="29" spans="2:13">
      <c r="B29" s="9" t="s">
        <v>60</v>
      </c>
      <c r="C29" s="9" t="s">
        <v>32</v>
      </c>
      <c r="D29" s="9" t="s">
        <v>33</v>
      </c>
      <c r="E29" s="9" t="s">
        <v>67</v>
      </c>
      <c r="F29" s="9" t="s">
        <v>62</v>
      </c>
      <c r="G29" s="9" t="s">
        <v>68</v>
      </c>
      <c r="I29" s="45" t="s">
        <v>52</v>
      </c>
      <c r="J29" s="11">
        <f>'June 2026'!G5</f>
        <v>0</v>
      </c>
      <c r="K29" s="11">
        <f>'June 2026'!G6</f>
        <v>0</v>
      </c>
      <c r="L29" s="11">
        <f>'June 2026'!G7</f>
        <v>0</v>
      </c>
      <c r="M29" s="11">
        <f>M28+K29</f>
        <v>0</v>
      </c>
    </row>
    <row r="30" spans="2:13">
      <c r="B30" s="10" t="s">
        <v>47</v>
      </c>
      <c r="C30" s="11">
        <f>'Monthly Budget'!D14</f>
        <v>0</v>
      </c>
      <c r="D30" s="11">
        <f>'January 2026'!G41</f>
        <v>0</v>
      </c>
      <c r="E30" s="11">
        <f>C30-D30</f>
        <v>0</v>
      </c>
      <c r="F30" s="11">
        <f>'January 2026'!G6</f>
        <v>0</v>
      </c>
      <c r="G30" s="11">
        <f>E30+F30</f>
        <v>0</v>
      </c>
      <c r="I30" s="46" t="s">
        <v>53</v>
      </c>
      <c r="J30" s="11">
        <f>'July 2026'!G5</f>
        <v>0</v>
      </c>
      <c r="K30" s="11">
        <f>'July 2026'!G6</f>
        <v>0</v>
      </c>
      <c r="L30" s="11">
        <f>'July 2026'!G7</f>
        <v>0</v>
      </c>
      <c r="M30" s="11">
        <f>M29+K30</f>
        <v>0</v>
      </c>
    </row>
    <row r="31" spans="2:13">
      <c r="B31" s="42" t="s">
        <v>48</v>
      </c>
      <c r="C31" s="11">
        <f>'Monthly Budget'!D14</f>
        <v>0</v>
      </c>
      <c r="D31" s="11">
        <f>'February 2026'!G38</f>
        <v>0</v>
      </c>
      <c r="E31" s="11">
        <f>C31-D31</f>
        <v>0</v>
      </c>
      <c r="F31" s="11">
        <f>'February 2026'!G6</f>
        <v>0</v>
      </c>
      <c r="G31" s="11">
        <f>E31+F31</f>
        <v>0</v>
      </c>
      <c r="I31" s="47" t="s">
        <v>54</v>
      </c>
      <c r="J31" s="11">
        <f>'August 2026'!G5</f>
        <v>0</v>
      </c>
      <c r="K31" s="11">
        <f>'August 2026'!G6</f>
        <v>0</v>
      </c>
      <c r="L31" s="11">
        <f>'August 2026'!G7</f>
        <v>0</v>
      </c>
      <c r="M31" s="11">
        <f>M30+K31</f>
        <v>0</v>
      </c>
    </row>
    <row r="32" spans="2:13">
      <c r="B32" s="16" t="s">
        <v>49</v>
      </c>
      <c r="C32" s="11">
        <f>'Monthly Budget'!D14</f>
        <v>0</v>
      </c>
      <c r="D32" s="11">
        <f>'March 2026'!G41</f>
        <v>0</v>
      </c>
      <c r="E32" s="11">
        <f>C32-D32</f>
        <v>0</v>
      </c>
      <c r="F32" s="11">
        <f>'March 2026'!G6</f>
        <v>0</v>
      </c>
      <c r="G32" s="11">
        <f>E32+F32</f>
        <v>0</v>
      </c>
      <c r="I32" s="48" t="s">
        <v>55</v>
      </c>
      <c r="J32" s="11">
        <f>'September 2026'!G5</f>
        <v>0</v>
      </c>
      <c r="K32" s="11">
        <f>'September 2026'!G6</f>
        <v>0</v>
      </c>
      <c r="L32" s="11">
        <f>'September 2026'!G7</f>
        <v>0</v>
      </c>
      <c r="M32" s="11">
        <f>M31+K32</f>
        <v>0</v>
      </c>
    </row>
    <row r="33" spans="2:13">
      <c r="B33" s="43" t="s">
        <v>50</v>
      </c>
      <c r="C33" s="11">
        <f>'Monthly Budget'!D14</f>
        <v>0</v>
      </c>
      <c r="D33" s="11">
        <f>'April 2026'!G40</f>
        <v>0</v>
      </c>
      <c r="E33" s="11">
        <f>C33-D33</f>
        <v>0</v>
      </c>
      <c r="F33" s="11">
        <f>'April 2026'!G6</f>
        <v>0</v>
      </c>
      <c r="G33" s="11">
        <f>E33+F33</f>
        <v>0</v>
      </c>
      <c r="I33" s="49" t="s">
        <v>56</v>
      </c>
      <c r="J33" s="11">
        <f>'October 2026'!G5</f>
        <v>0</v>
      </c>
      <c r="K33" s="11">
        <f>'October 2026'!G6</f>
        <v>0</v>
      </c>
      <c r="L33" s="11">
        <f>'October 2026'!G7</f>
        <v>0</v>
      </c>
      <c r="M33" s="11">
        <f>M32+K33</f>
        <v>0</v>
      </c>
    </row>
    <row r="34" spans="2:13">
      <c r="B34" s="44" t="s">
        <v>51</v>
      </c>
      <c r="C34" s="11">
        <f>'Monthly Budget'!D14</f>
        <v>0</v>
      </c>
      <c r="D34" s="11">
        <f>'May 2026'!G41</f>
        <v>0</v>
      </c>
      <c r="E34" s="11">
        <f>C34-D34</f>
        <v>0</v>
      </c>
      <c r="F34" s="11">
        <f>'May 2026'!G6</f>
        <v>0</v>
      </c>
      <c r="G34" s="11">
        <f>E34+F34</f>
        <v>0</v>
      </c>
      <c r="I34" s="50" t="s">
        <v>57</v>
      </c>
      <c r="J34" s="11">
        <f>'November 2026'!G5</f>
        <v>0</v>
      </c>
      <c r="K34" s="11">
        <f>'November 2026'!G6</f>
        <v>0</v>
      </c>
      <c r="L34" s="11">
        <f>'November 2026'!G7</f>
        <v>0</v>
      </c>
      <c r="M34" s="11">
        <f>M33+K34</f>
        <v>0</v>
      </c>
    </row>
    <row r="35" spans="2:13">
      <c r="B35" s="45" t="s">
        <v>52</v>
      </c>
      <c r="C35" s="11">
        <f>'Monthly Budget'!D14</f>
        <v>0</v>
      </c>
      <c r="D35" s="11">
        <f>'June 2026'!G40</f>
        <v>0</v>
      </c>
      <c r="E35" s="11">
        <f>C35-D35</f>
        <v>0</v>
      </c>
      <c r="F35" s="11">
        <f>'June 2026'!G6</f>
        <v>0</v>
      </c>
      <c r="G35" s="11">
        <f>E35+F35</f>
        <v>0</v>
      </c>
      <c r="I35" s="51" t="s">
        <v>58</v>
      </c>
      <c r="J35" s="11">
        <f>'December 2026'!G5</f>
        <v>0</v>
      </c>
      <c r="K35" s="11">
        <f>'December 2026'!G6</f>
        <v>0</v>
      </c>
      <c r="L35" s="11">
        <f>'December 2026'!G7</f>
        <v>0</v>
      </c>
      <c r="M35" s="11">
        <f>M34+K35</f>
        <v>0</v>
      </c>
    </row>
    <row r="36" spans="2:13">
      <c r="B36" s="46" t="s">
        <v>53</v>
      </c>
      <c r="C36" s="11">
        <f>'Monthly Budget'!D14</f>
        <v>0</v>
      </c>
      <c r="D36" s="11">
        <f>'July 2026'!G41</f>
        <v>0</v>
      </c>
      <c r="E36" s="11">
        <f>C36-D36</f>
        <v>0</v>
      </c>
      <c r="F36" s="11">
        <f>'July 2026'!G6</f>
        <v>0</v>
      </c>
      <c r="G36" s="11">
        <f>E36+F36</f>
        <v>0</v>
      </c>
      <c r="I36" s="52" t="s">
        <v>65</v>
      </c>
      <c r="J36" s="22">
        <f>SUM(J24:J35)</f>
        <v>0</v>
      </c>
      <c r="K36" s="22">
        <f>SUM(K24:K35)</f>
        <v>0</v>
      </c>
      <c r="L36" s="22">
        <f>SUM(L24:L35)</f>
        <v>0</v>
      </c>
      <c r="M36" s="22">
        <f>M35</f>
        <v>0</v>
      </c>
    </row>
    <row r="37" spans="2:13">
      <c r="B37" s="47" t="s">
        <v>54</v>
      </c>
      <c r="C37" s="11">
        <f>'Monthly Budget'!D14</f>
        <v>0</v>
      </c>
      <c r="D37" s="11">
        <f>'August 2026'!G41</f>
        <v>0</v>
      </c>
      <c r="E37" s="11">
        <f>C37-D37</f>
        <v>0</v>
      </c>
      <c r="F37" s="11">
        <f>'August 2026'!G6</f>
        <v>0</v>
      </c>
      <c r="G37" s="11">
        <f>E37+F37</f>
        <v>0</v>
      </c>
    </row>
    <row r="38" spans="2:13">
      <c r="B38" s="48" t="s">
        <v>55</v>
      </c>
      <c r="C38" s="11">
        <f>'Monthly Budget'!D14</f>
        <v>0</v>
      </c>
      <c r="D38" s="11">
        <f>'September 2026'!G40</f>
        <v>0</v>
      </c>
      <c r="E38" s="11">
        <f>C38-D38</f>
        <v>0</v>
      </c>
      <c r="F38" s="11">
        <f>'September 2026'!G6</f>
        <v>0</v>
      </c>
      <c r="G38" s="11">
        <f>E38+F38</f>
        <v>0</v>
      </c>
      <c r="I38" s="18" t="s">
        <v>69</v>
      </c>
      <c r="J38" s="18"/>
      <c r="K38" s="18"/>
      <c r="L38" s="18"/>
      <c r="M38" s="18"/>
    </row>
    <row r="39" spans="2:13">
      <c r="B39" s="49" t="s">
        <v>56</v>
      </c>
      <c r="C39" s="11">
        <f>'Monthly Budget'!D14</f>
        <v>0</v>
      </c>
      <c r="D39" s="11">
        <f>'October 2026'!G41</f>
        <v>0</v>
      </c>
      <c r="E39" s="11">
        <f>C39-D39</f>
        <v>0</v>
      </c>
      <c r="F39" s="11">
        <f>'October 2026'!G6</f>
        <v>0</v>
      </c>
      <c r="G39" s="11">
        <f>E39+F39</f>
        <v>0</v>
      </c>
      <c r="I39" s="1" t="s">
        <v>70</v>
      </c>
      <c r="L39" s="22">
        <f>J36</f>
        <v>0</v>
      </c>
    </row>
    <row r="40" spans="2:13">
      <c r="B40" s="50" t="s">
        <v>57</v>
      </c>
      <c r="C40" s="11">
        <f>'Monthly Budget'!D14</f>
        <v>0</v>
      </c>
      <c r="D40" s="11">
        <f>'November 2026'!G40</f>
        <v>0</v>
      </c>
      <c r="E40" s="11">
        <f>C40-D40</f>
        <v>0</v>
      </c>
      <c r="F40" s="11">
        <f>'November 2026'!G6</f>
        <v>0</v>
      </c>
      <c r="G40" s="11">
        <f>E40+F40</f>
        <v>0</v>
      </c>
      <c r="I40" s="1" t="s">
        <v>71</v>
      </c>
      <c r="L40" s="22">
        <f>K36</f>
        <v>0</v>
      </c>
    </row>
    <row r="41" spans="2:13">
      <c r="B41" s="51" t="s">
        <v>58</v>
      </c>
      <c r="C41" s="11">
        <f>'Monthly Budget'!D14</f>
        <v>0</v>
      </c>
      <c r="D41" s="11">
        <f>'December 2026'!G41</f>
        <v>0</v>
      </c>
      <c r="E41" s="11">
        <f>C41-D41</f>
        <v>0</v>
      </c>
      <c r="F41" s="11">
        <f>'December 2026'!G6</f>
        <v>0</v>
      </c>
      <c r="G41" s="11">
        <f>E41+F41</f>
        <v>0</v>
      </c>
      <c r="I41" s="1" t="s">
        <v>72</v>
      </c>
      <c r="L41" s="22">
        <f>L36</f>
        <v>0</v>
      </c>
    </row>
    <row r="42" spans="2:13">
      <c r="B42" s="52" t="s">
        <v>65</v>
      </c>
      <c r="C42" s="22">
        <f>SUM(C30:C41)</f>
        <v>0</v>
      </c>
      <c r="D42" s="22">
        <f>SUM(D30:D41)</f>
        <v>0</v>
      </c>
      <c r="E42" s="22">
        <f>SUM(E30:E41)</f>
        <v>0</v>
      </c>
      <c r="F42" s="22">
        <f>SUM(F30:F41)</f>
        <v>0</v>
      </c>
      <c r="G42" s="22">
        <f>SUM(G30:G41)</f>
        <v>0</v>
      </c>
      <c r="I42" s="1" t="s">
        <v>73</v>
      </c>
      <c r="L42" s="22">
        <f>D42</f>
        <v>0</v>
      </c>
    </row>
    <row r="43" spans="2:13">
      <c r="I43" s="52" t="s">
        <v>74</v>
      </c>
      <c r="L43" s="53">
        <f>G42</f>
        <v>0</v>
      </c>
    </row>
    <row r="45" spans="2:13">
      <c r="B45" s="54" t="s">
        <v>80</v>
      </c>
      <c r="C45" s="54"/>
      <c r="D45" s="54"/>
      <c r="E45" s="54"/>
      <c r="F45" s="54"/>
      <c r="G45" s="54"/>
      <c r="I45" s="54" t="s">
        <v>86</v>
      </c>
      <c r="J45" s="54"/>
      <c r="K45" s="54"/>
      <c r="L45" s="54"/>
      <c r="M45" s="54"/>
    </row>
    <row r="46" spans="2:13">
      <c r="B46" s="9" t="s">
        <v>31</v>
      </c>
      <c r="C46" s="9" t="s">
        <v>81</v>
      </c>
      <c r="D46" s="9" t="s">
        <v>82</v>
      </c>
      <c r="E46" s="9" t="s">
        <v>25</v>
      </c>
      <c r="F46" s="9" t="s">
        <v>35</v>
      </c>
      <c r="G46" s="9" t="s">
        <v>34</v>
      </c>
      <c r="I46" s="1" t="s">
        <v>87</v>
      </c>
      <c r="L46" s="55">
        <f>$K$2</f>
        <v>0</v>
      </c>
    </row>
    <row r="47" spans="2:13">
      <c r="B47" s="24" t="s">
        <v>36</v>
      </c>
      <c r="C47" s="11">
        <f>'Monthly Budget'!D3</f>
        <v>0</v>
      </c>
      <c r="D47" s="11">
        <f>IF($K$2="January",'January 2026'!M6,IF($K$2="February",'February 2026'!M6,IF($K$2="March",'March 2026'!M6,IF($K$2="April",'April 2026'!M6,IF($K$2="May",'May 2026'!M6,IF($K$2="June",'June 2026'!M6,IF($K$2="July",'July 2026'!M6,IF($K$2="August",'August 2026'!M6,IF($K$2="September",'September 2026'!M6,IF($K$2="October",'October 2026'!M6,IF($K$2="November",'November 2026'!M6,IF($K$2="December",'December 2026'!M6,IF($K$2="ALL TIME",'January 2026'!M6+'February 2026'!M6+'March 2026'!M6+'April 2026'!M6+'May 2026'!M6+'June 2026'!M6+'July 2026'!M6+'August 2026'!M6+'September 2026'!M6+'October 2026'!M6+'November 2026'!M6+'December 2026'!M6/12,0)))))))))))))</f>
        <v>0</v>
      </c>
      <c r="E47" s="11">
        <f>C47-D47</f>
        <v>0</v>
      </c>
      <c r="F47" s="13">
        <f>IFERROR(IF(C47&gt;0,D47/C47,0),0)</f>
        <v>0</v>
      </c>
      <c r="G47" s="12">
        <f>IF(D47&gt;C47,"OVER",IF(D47&gt;C47*0.9,"WARN","OK"))</f>
        <v>0</v>
      </c>
      <c r="I47" s="1" t="s">
        <v>88</v>
      </c>
      <c r="L47" s="22">
        <f>C58</f>
        <v>0</v>
      </c>
    </row>
    <row r="48" spans="2:13">
      <c r="B48" s="25" t="s">
        <v>37</v>
      </c>
      <c r="C48" s="11">
        <f>'Monthly Budget'!D4</f>
        <v>0</v>
      </c>
      <c r="D48" s="11">
        <f>IF($K$2="January",'January 2026'!M7,IF($K$2="February",'February 2026'!M7,IF($K$2="March",'March 2026'!M7,IF($K$2="April",'April 2026'!M7,IF($K$2="May",'May 2026'!M7,IF($K$2="June",'June 2026'!M7,IF($K$2="July",'July 2026'!M7,IF($K$2="August",'August 2026'!M7,IF($K$2="September",'September 2026'!M7,IF($K$2="October",'October 2026'!M7,IF($K$2="November",'November 2026'!M7,IF($K$2="December",'December 2026'!M7,IF($K$2="ALL TIME",'January 2026'!M7+'February 2026'!M7+'March 2026'!M7+'April 2026'!M7+'May 2026'!M7+'June 2026'!M7+'July 2026'!M7+'August 2026'!M7+'September 2026'!M7+'October 2026'!M7+'November 2026'!M7+'December 2026'!M7/12,0)))))))))))))</f>
        <v>0</v>
      </c>
      <c r="E48" s="11">
        <f>C48-D48</f>
        <v>0</v>
      </c>
      <c r="F48" s="13">
        <f>IFERROR(IF(C48&gt;0,D48/C48,0),0)</f>
        <v>0</v>
      </c>
      <c r="G48" s="12">
        <f>IF(D48&gt;C48,"OVER",IF(D48&gt;C48*0.9,"WARN","OK"))</f>
        <v>0</v>
      </c>
      <c r="I48" s="1" t="s">
        <v>89</v>
      </c>
      <c r="L48" s="22">
        <f>D58</f>
        <v>0</v>
      </c>
    </row>
    <row r="49" spans="2:12">
      <c r="B49" s="27" t="s">
        <v>38</v>
      </c>
      <c r="C49" s="11">
        <f>'Monthly Budget'!D5</f>
        <v>0</v>
      </c>
      <c r="D49" s="11">
        <f>IF($K$2="January",'January 2026'!M8,IF($K$2="February",'February 2026'!M8,IF($K$2="March",'March 2026'!M8,IF($K$2="April",'April 2026'!M8,IF($K$2="May",'May 2026'!M8,IF($K$2="June",'June 2026'!M8,IF($K$2="July",'July 2026'!M8,IF($K$2="August",'August 2026'!M8,IF($K$2="September",'September 2026'!M8,IF($K$2="October",'October 2026'!M8,IF($K$2="November",'November 2026'!M8,IF($K$2="December",'December 2026'!M8,IF($K$2="ALL TIME",'January 2026'!M8+'February 2026'!M8+'March 2026'!M8+'April 2026'!M8+'May 2026'!M8+'June 2026'!M8+'July 2026'!M8+'August 2026'!M8+'September 2026'!M8+'October 2026'!M8+'November 2026'!M8+'December 2026'!M8/12,0)))))))))))))</f>
        <v>0</v>
      </c>
      <c r="E49" s="11">
        <f>C49-D49</f>
        <v>0</v>
      </c>
      <c r="F49" s="13">
        <f>IFERROR(IF(C49&gt;0,D49/C49,0),0)</f>
        <v>0</v>
      </c>
      <c r="G49" s="12">
        <f>IF(D49&gt;C49,"OVER",IF(D49&gt;C49*0.9,"WARN","OK"))</f>
        <v>0</v>
      </c>
      <c r="I49" s="1" t="s">
        <v>90</v>
      </c>
      <c r="L49" s="56">
        <f>E58</f>
        <v>0</v>
      </c>
    </row>
    <row r="50" spans="2:12">
      <c r="B50" s="29" t="s">
        <v>39</v>
      </c>
      <c r="C50" s="11">
        <f>'Monthly Budget'!D6</f>
        <v>0</v>
      </c>
      <c r="D50" s="11">
        <f>IF($K$2="January",'January 2026'!M9,IF($K$2="February",'February 2026'!M9,IF($K$2="March",'March 2026'!M9,IF($K$2="April",'April 2026'!M9,IF($K$2="May",'May 2026'!M9,IF($K$2="June",'June 2026'!M9,IF($K$2="July",'July 2026'!M9,IF($K$2="August",'August 2026'!M9,IF($K$2="September",'September 2026'!M9,IF($K$2="October",'October 2026'!M9,IF($K$2="November",'November 2026'!M9,IF($K$2="December",'December 2026'!M9,IF($K$2="ALL TIME",'January 2026'!M9+'February 2026'!M9+'March 2026'!M9+'April 2026'!M9+'May 2026'!M9+'June 2026'!M9+'July 2026'!M9+'August 2026'!M9+'September 2026'!M9+'October 2026'!M9+'November 2026'!M9+'December 2026'!M9/12,0)))))))))))))</f>
        <v>0</v>
      </c>
      <c r="E50" s="11">
        <f>C50-D50</f>
        <v>0</v>
      </c>
      <c r="F50" s="13">
        <f>IFERROR(IF(C50&gt;0,D50/C50,0),0)</f>
        <v>0</v>
      </c>
      <c r="G50" s="12">
        <f>IF(D50&gt;C50,"OVER",IF(D50&gt;C50*0.9,"WARN","OK"))</f>
        <v>0</v>
      </c>
      <c r="I50" s="1" t="s">
        <v>91</v>
      </c>
      <c r="L50" s="57">
        <f>F58</f>
        <v>0</v>
      </c>
    </row>
    <row r="51" spans="2:12">
      <c r="B51" s="30" t="s">
        <v>40</v>
      </c>
      <c r="C51" s="11">
        <f>'Monthly Budget'!D7</f>
        <v>0</v>
      </c>
      <c r="D51" s="11">
        <f>IF($K$2="January",'January 2026'!M10,IF($K$2="February",'February 2026'!M10,IF($K$2="March",'March 2026'!M10,IF($K$2="April",'April 2026'!M10,IF($K$2="May",'May 2026'!M10,IF($K$2="June",'June 2026'!M10,IF($K$2="July",'July 2026'!M10,IF($K$2="August",'August 2026'!M10,IF($K$2="September",'September 2026'!M10,IF($K$2="October",'October 2026'!M10,IF($K$2="November",'November 2026'!M10,IF($K$2="December",'December 2026'!M10,IF($K$2="ALL TIME",'January 2026'!M10+'February 2026'!M10+'March 2026'!M10+'April 2026'!M10+'May 2026'!M10+'June 2026'!M10+'July 2026'!M10+'August 2026'!M10+'September 2026'!M10+'October 2026'!M10+'November 2026'!M10+'December 2026'!M10/12,0)))))))))))))</f>
        <v>0</v>
      </c>
      <c r="E51" s="11">
        <f>C51-D51</f>
        <v>0</v>
      </c>
      <c r="F51" s="13">
        <f>IFERROR(IF(C51&gt;0,D51/C51,0),0)</f>
        <v>0</v>
      </c>
      <c r="G51" s="12">
        <f>IF(D51&gt;C51,"OVER",IF(D51&gt;C51*0.9,"WARN","OK"))</f>
        <v>0</v>
      </c>
      <c r="I51" s="1" t="s">
        <v>92</v>
      </c>
      <c r="L51" s="22">
        <f>IF($K$2="January",'January 2026'!G6,IF($K$2="February",'February 2026'!G6,IF($K$2="March",'March 2026'!G6,IF($K$2="April",'April 2026'!G6,IF($K$2="May",'May 2026'!G6,IF($K$2="June",'June 2026'!G6,IF($K$2="July",'July 2026'!G6,IF($K$2="August",'August 2026'!G6,IF($K$2="September",'September 2026'!G6,IF($K$2="October",'October 2026'!G6,IF($K$2="November",'November 2026'!G6,IF($K$2="December",'December 2026'!G6,IF($K$2="ALL TIME",'January 2026'!G6+'February 2026'!G6+'March 2026'!G6+'April 2026'!G6+'May 2026'!G6+'June 2026'!G6+'July 2026'!G6+'August 2026'!G6+'September 2026'!G6+'October 2026'!G6+'November 2026'!G6+'December 2026'!G6,0)))))))))))))</f>
        <v>0</v>
      </c>
    </row>
    <row r="52" spans="2:12">
      <c r="B52" s="31" t="s">
        <v>41</v>
      </c>
      <c r="C52" s="11">
        <f>'Monthly Budget'!D8</f>
        <v>0</v>
      </c>
      <c r="D52" s="11">
        <f>IF($K$2="January",'January 2026'!M11,IF($K$2="February",'February 2026'!M11,IF($K$2="March",'March 2026'!M11,IF($K$2="April",'April 2026'!M11,IF($K$2="May",'May 2026'!M11,IF($K$2="June",'June 2026'!M11,IF($K$2="July",'July 2026'!M11,IF($K$2="August",'August 2026'!M11,IF($K$2="September",'September 2026'!M11,IF($K$2="October",'October 2026'!M11,IF($K$2="November",'November 2026'!M11,IF($K$2="December",'December 2026'!M11,IF($K$2="ALL TIME",'January 2026'!M11+'February 2026'!M11+'March 2026'!M11+'April 2026'!M11+'May 2026'!M11+'June 2026'!M11+'July 2026'!M11+'August 2026'!M11+'September 2026'!M11+'October 2026'!M11+'November 2026'!M11+'December 2026'!M11/12,0)))))))))))))</f>
        <v>0</v>
      </c>
      <c r="E52" s="11">
        <f>C52-D52</f>
        <v>0</v>
      </c>
      <c r="F52" s="13">
        <f>IFERROR(IF(C52&gt;0,D52/C52,0),0)</f>
        <v>0</v>
      </c>
      <c r="G52" s="12">
        <f>IF(D52&gt;C52,"OVER",IF(D52&gt;C52*0.9,"WARN","OK"))</f>
        <v>0</v>
      </c>
      <c r="I52" s="1" t="s">
        <v>93</v>
      </c>
      <c r="L52" s="58">
        <f>IF($K$2="January",'January 2026'!G7,IF($K$2="February",'February 2026'!G7,IF($K$2="March",'March 2026'!G7,IF($K$2="April",'April 2026'!G7,IF($K$2="May",'May 2026'!G7,IF($K$2="June",'June 2026'!G7,IF($K$2="July",'July 2026'!G7,IF($K$2="August",'August 2026'!G7,IF($K$2="September",'September 2026'!G7,IF($K$2="October",'October 2026'!G7,IF($K$2="November",'November 2026'!G7,IF($K$2="December",'December 2026'!G7,IF($K$2="ALL TIME",'January 2026'!G7+'February 2026'!G7+'March 2026'!G7+'April 2026'!G7+'May 2026'!G7+'June 2026'!G7+'July 2026'!G7+'August 2026'!G7+'September 2026'!G7+'October 2026'!G7+'November 2026'!G7+'December 2026'!G7,0)))))))))))))</f>
        <v>0</v>
      </c>
    </row>
    <row r="53" spans="2:12">
      <c r="B53" s="33" t="s">
        <v>42</v>
      </c>
      <c r="C53" s="11">
        <f>'Monthly Budget'!D9</f>
        <v>0</v>
      </c>
      <c r="D53" s="11">
        <f>IF($K$2="January",'January 2026'!M12,IF($K$2="February",'February 2026'!M12,IF($K$2="March",'March 2026'!M12,IF($K$2="April",'April 2026'!M12,IF($K$2="May",'May 2026'!M12,IF($K$2="June",'June 2026'!M12,IF($K$2="July",'July 2026'!M12,IF($K$2="August",'August 2026'!M12,IF($K$2="September",'September 2026'!M12,IF($K$2="October",'October 2026'!M12,IF($K$2="November",'November 2026'!M12,IF($K$2="December",'December 2026'!M12,IF($K$2="ALL TIME",'January 2026'!M12+'February 2026'!M12+'March 2026'!M12+'April 2026'!M12+'May 2026'!M12+'June 2026'!M12+'July 2026'!M12+'August 2026'!M12+'September 2026'!M12+'October 2026'!M12+'November 2026'!M12+'December 2026'!M12/12,0)))))))))))))</f>
        <v>0</v>
      </c>
      <c r="E53" s="11">
        <f>C53-D53</f>
        <v>0</v>
      </c>
      <c r="F53" s="13">
        <f>IFERROR(IF(C53&gt;0,D53/C53,0),0)</f>
        <v>0</v>
      </c>
      <c r="G53" s="12">
        <f>IF(D53&gt;C53,"OVER",IF(D53&gt;C53*0.9,"WARN","OK"))</f>
        <v>0</v>
      </c>
    </row>
    <row r="54" spans="2:12">
      <c r="B54" s="38" t="s">
        <v>43</v>
      </c>
      <c r="C54" s="11">
        <f>'Monthly Budget'!D10</f>
        <v>0</v>
      </c>
      <c r="D54" s="11">
        <f>IF($K$2="January",'January 2026'!M13,IF($K$2="February",'February 2026'!M13,IF($K$2="March",'March 2026'!M13,IF($K$2="April",'April 2026'!M13,IF($K$2="May",'May 2026'!M13,IF($K$2="June",'June 2026'!M13,IF($K$2="July",'July 2026'!M13,IF($K$2="August",'August 2026'!M13,IF($K$2="September",'September 2026'!M13,IF($K$2="October",'October 2026'!M13,IF($K$2="November",'November 2026'!M13,IF($K$2="December",'December 2026'!M13,IF($K$2="ALL TIME",'January 2026'!M13+'February 2026'!M13+'March 2026'!M13+'April 2026'!M13+'May 2026'!M13+'June 2026'!M13+'July 2026'!M13+'August 2026'!M13+'September 2026'!M13+'October 2026'!M13+'November 2026'!M13+'December 2026'!M13/12,0)))))))))))))</f>
        <v>0</v>
      </c>
      <c r="E54" s="11">
        <f>C54-D54</f>
        <v>0</v>
      </c>
      <c r="F54" s="13">
        <f>IFERROR(IF(C54&gt;0,D54/C54,0),0)</f>
        <v>0</v>
      </c>
      <c r="G54" s="12">
        <f>IF(D54&gt;C54,"OVER",IF(D54&gt;C54*0.9,"WARN","OK"))</f>
        <v>0</v>
      </c>
    </row>
    <row r="55" spans="2:12">
      <c r="B55" s="59" t="s">
        <v>83</v>
      </c>
      <c r="C55" s="11">
        <f>'Monthly Budget'!D11</f>
        <v>0</v>
      </c>
      <c r="D55" s="11">
        <f>IF($K$2="January",'January 2026'!M14,IF($K$2="February",'February 2026'!M14,IF($K$2="March",'March 2026'!M14,IF($K$2="April",'April 2026'!M14,IF($K$2="May",'May 2026'!M14,IF($K$2="June",'June 2026'!M14,IF($K$2="July",'July 2026'!M14,IF($K$2="August",'August 2026'!M14,IF($K$2="September",'September 2026'!M14,IF($K$2="October",'October 2026'!M14,IF($K$2="November",'November 2026'!M14,IF($K$2="December",'December 2026'!M14,IF($K$2="ALL TIME",'January 2026'!M14+'February 2026'!M14+'March 2026'!M14+'April 2026'!M14+'May 2026'!M14+'June 2026'!M14+'July 2026'!M14+'August 2026'!M14+'September 2026'!M14+'October 2026'!M14+'November 2026'!M14+'December 2026'!M14/12,0)))))))))))))</f>
        <v>0</v>
      </c>
      <c r="E55" s="11">
        <f>C55-D55</f>
        <v>0</v>
      </c>
      <c r="F55" s="13">
        <f>IFERROR(IF(C55&gt;0,D55/C55,0),0)</f>
        <v>0</v>
      </c>
      <c r="G55" s="12">
        <f>IF(D55&gt;C55,"OVER",IF(D55&gt;C55*0.9,"WARN","OK"))</f>
        <v>0</v>
      </c>
    </row>
    <row r="56" spans="2:12">
      <c r="B56" s="60" t="s">
        <v>84</v>
      </c>
      <c r="C56" s="11">
        <f>'Monthly Budget'!D12</f>
        <v>0</v>
      </c>
      <c r="D56" s="11">
        <f>IF($K$2="January",'January 2026'!M15,IF($K$2="February",'February 2026'!M15,IF($K$2="March",'March 2026'!M15,IF($K$2="April",'April 2026'!M15,IF($K$2="May",'May 2026'!M15,IF($K$2="June",'June 2026'!M15,IF($K$2="July",'July 2026'!M15,IF($K$2="August",'August 2026'!M15,IF($K$2="September",'September 2026'!M15,IF($K$2="October",'October 2026'!M15,IF($K$2="November",'November 2026'!M15,IF($K$2="December",'December 2026'!M15,IF($K$2="ALL TIME",'January 2026'!M15+'February 2026'!M15+'March 2026'!M15+'April 2026'!M15+'May 2026'!M15+'June 2026'!M15+'July 2026'!M15+'August 2026'!M15+'September 2026'!M15+'October 2026'!M15+'November 2026'!M15+'December 2026'!M15/12,0)))))))))))))</f>
        <v>0</v>
      </c>
      <c r="E56" s="11">
        <f>C56-D56</f>
        <v>0</v>
      </c>
      <c r="F56" s="13">
        <f>IFERROR(IF(C56&gt;0,D56/C56,0),0)</f>
        <v>0</v>
      </c>
      <c r="G56" s="12">
        <f>IF(D56&gt;C56,"OVER",IF(D56&gt;C56*0.9,"WARN","OK"))</f>
        <v>0</v>
      </c>
    </row>
    <row r="57" spans="2:12">
      <c r="B57" s="61" t="s">
        <v>85</v>
      </c>
      <c r="C57" s="11">
        <f>'Monthly Budget'!D13</f>
        <v>0</v>
      </c>
      <c r="D57" s="11">
        <f>IF($K$2="January",'January 2026'!M16,IF($K$2="February",'February 2026'!M16,IF($K$2="March",'March 2026'!M16,IF($K$2="April",'April 2026'!M16,IF($K$2="May",'May 2026'!M16,IF($K$2="June",'June 2026'!M16,IF($K$2="July",'July 2026'!M16,IF($K$2="August",'August 2026'!M16,IF($K$2="September",'September 2026'!M16,IF($K$2="October",'October 2026'!M16,IF($K$2="November",'November 2026'!M16,IF($K$2="December",'December 2026'!M16,IF($K$2="ALL TIME",'January 2026'!M16+'February 2026'!M16+'March 2026'!M16+'April 2026'!M16+'May 2026'!M16+'June 2026'!M16+'July 2026'!M16+'August 2026'!M16+'September 2026'!M16+'October 2026'!M16+'November 2026'!M16+'December 2026'!M16/12,0)))))))))))))</f>
        <v>0</v>
      </c>
      <c r="E57" s="11">
        <f>C57-D57</f>
        <v>0</v>
      </c>
      <c r="F57" s="13">
        <f>IFERROR(IF(C57&gt;0,D57/C57,0),0)</f>
        <v>0</v>
      </c>
      <c r="G57" s="12">
        <f>IF(D57&gt;C57,"OVER",IF(D57&gt;C57*0.9,"WARN","OK"))</f>
        <v>0</v>
      </c>
    </row>
    <row r="58" spans="2:12">
      <c r="B58" s="52" t="s">
        <v>65</v>
      </c>
      <c r="C58" s="22">
        <f>SUM(C47:C57)</f>
        <v>0</v>
      </c>
      <c r="D58" s="22">
        <f>SUM(D47:D57)</f>
        <v>0</v>
      </c>
      <c r="E58" s="22">
        <f>SUM(E47:E57)</f>
        <v>0</v>
      </c>
      <c r="F58" s="23">
        <f>IFERROR(IF(C58&gt;0,D58/C58,0),0)</f>
        <v>0</v>
      </c>
    </row>
  </sheetData>
  <mergeCells count="19">
    <mergeCell ref="B2:G2"/>
    <mergeCell ref="B3:G3"/>
    <mergeCell ref="I2:J2"/>
    <mergeCell ref="K2:L2"/>
    <mergeCell ref="C5:E5"/>
    <mergeCell ref="B7:D7"/>
    <mergeCell ref="B14:G14"/>
    <mergeCell ref="B18:G18"/>
    <mergeCell ref="B19:G20"/>
    <mergeCell ref="I7:M7"/>
    <mergeCell ref="I18:M18"/>
    <mergeCell ref="I19:M20"/>
    <mergeCell ref="B22:G22"/>
    <mergeCell ref="I22:M22"/>
    <mergeCell ref="B28:G28"/>
    <mergeCell ref="I38:M38"/>
    <mergeCell ref="O2:S2"/>
    <mergeCell ref="B45:G45"/>
    <mergeCell ref="I45:M45"/>
  </mergeCells>
  <conditionalFormatting sqref="G47:G57">
    <cfRule type="containsText" dxfId="0" priority="1" operator="containsText" text="OVER">
      <formula>NOT(ISERROR(SEARCH("OVER",G47)))</formula>
    </cfRule>
    <cfRule type="containsText" dxfId="1" priority="2" operator="containsText" text="WARN">
      <formula>NOT(ISERROR(SEARCH("WARN",G47)))</formula>
    </cfRule>
    <cfRule type="containsText" dxfId="2" priority="3" operator="containsText" text="OK">
      <formula>NOT(ISERROR(SEARCH("OK",G47)))</formula>
    </cfRule>
  </conditionalFormatting>
  <dataValidations count="2">
    <dataValidation type="list" allowBlank="1" showInputMessage="1" showErrorMessage="1" sqref="K2:L2">
      <formula1>"ALL TIME,January,February,March,April,May,June,July,August,September,October,November,December"</formula1>
    </dataValidation>
    <dataValidation type="list" allowBlank="1" showInputMessage="1" showErrorMessage="1" sqref="N2">
      <formula1>"CZK,USD,EUR,NGN"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7AE60"/>
  </sheetPr>
  <dimension ref="B1:G1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.7109375" customWidth="1"/>
    <col min="2" max="2" width="6.7109375" customWidth="1"/>
    <col min="3" max="3" width="32.7109375" customWidth="1"/>
    <col min="4" max="5" width="22.7109375" customWidth="1"/>
    <col min="6" max="6" width="18.7109375" customWidth="1"/>
    <col min="7" max="7" width="28.7109375" customWidth="1"/>
  </cols>
  <sheetData>
    <row r="1" spans="2:7" ht="40" customHeight="1">
      <c r="B1" s="2" t="s">
        <v>94</v>
      </c>
      <c r="C1" s="2"/>
      <c r="D1" s="2"/>
      <c r="E1" s="2"/>
      <c r="F1" s="2"/>
      <c r="G1" s="2"/>
    </row>
    <row r="2" spans="2:7">
      <c r="B2" s="18" t="s">
        <v>95</v>
      </c>
      <c r="C2" s="18" t="s">
        <v>31</v>
      </c>
      <c r="D2" s="18" t="s">
        <v>96</v>
      </c>
      <c r="E2" s="18" t="s">
        <v>97</v>
      </c>
      <c r="F2" s="18" t="s">
        <v>79</v>
      </c>
      <c r="G2" s="18" t="s">
        <v>98</v>
      </c>
    </row>
    <row r="3" spans="2:7">
      <c r="B3" s="12">
        <v>1</v>
      </c>
      <c r="C3" s="1" t="s">
        <v>36</v>
      </c>
      <c r="D3" s="20">
        <v>34300</v>
      </c>
      <c r="E3" s="11">
        <f>D3*12</f>
        <v>0</v>
      </c>
      <c r="F3" s="13">
        <f>IFERROR(IF($D$14&gt;0,D3/$D$14,0),0)</f>
        <v>0</v>
      </c>
      <c r="G3" s="24" t="s">
        <v>36</v>
      </c>
    </row>
    <row r="4" spans="2:7">
      <c r="B4" s="12">
        <v>2</v>
      </c>
      <c r="C4" s="1" t="s">
        <v>37</v>
      </c>
      <c r="D4" s="20">
        <v>2884</v>
      </c>
      <c r="E4" s="11">
        <f>D4*12</f>
        <v>0</v>
      </c>
      <c r="F4" s="13">
        <f>IFERROR(IF($D$14&gt;0,D4/$D$14,0),0)</f>
        <v>0</v>
      </c>
      <c r="G4" s="25" t="s">
        <v>37</v>
      </c>
    </row>
    <row r="5" spans="2:7">
      <c r="B5" s="12">
        <v>3</v>
      </c>
      <c r="C5" s="1" t="s">
        <v>38</v>
      </c>
      <c r="D5" s="20">
        <v>1200</v>
      </c>
      <c r="E5" s="11">
        <f>D5*12</f>
        <v>0</v>
      </c>
      <c r="F5" s="13">
        <f>IFERROR(IF($D$14&gt;0,D5/$D$14,0),0)</f>
        <v>0</v>
      </c>
      <c r="G5" s="27" t="s">
        <v>38</v>
      </c>
    </row>
    <row r="6" spans="2:7">
      <c r="B6" s="12">
        <v>4</v>
      </c>
      <c r="C6" s="1" t="s">
        <v>39</v>
      </c>
      <c r="D6" s="20">
        <v>6000</v>
      </c>
      <c r="E6" s="11">
        <f>D6*12</f>
        <v>0</v>
      </c>
      <c r="F6" s="13">
        <f>IFERROR(IF($D$14&gt;0,D6/$D$14,0),0)</f>
        <v>0</v>
      </c>
      <c r="G6" s="29" t="s">
        <v>39</v>
      </c>
    </row>
    <row r="7" spans="2:7">
      <c r="B7" s="12">
        <v>5</v>
      </c>
      <c r="C7" s="1" t="s">
        <v>40</v>
      </c>
      <c r="D7" s="20">
        <v>4000</v>
      </c>
      <c r="E7" s="11">
        <f>D7*12</f>
        <v>0</v>
      </c>
      <c r="F7" s="13">
        <f>IFERROR(IF($D$14&gt;0,D7/$D$14,0),0)</f>
        <v>0</v>
      </c>
      <c r="G7" s="30" t="s">
        <v>40</v>
      </c>
    </row>
    <row r="8" spans="2:7">
      <c r="B8" s="12">
        <v>6</v>
      </c>
      <c r="C8" s="1" t="s">
        <v>41</v>
      </c>
      <c r="D8" s="20">
        <v>1500</v>
      </c>
      <c r="E8" s="11">
        <f>D8*12</f>
        <v>0</v>
      </c>
      <c r="F8" s="13">
        <f>IFERROR(IF($D$14&gt;0,D8/$D$14,0),0)</f>
        <v>0</v>
      </c>
      <c r="G8" s="31" t="s">
        <v>41</v>
      </c>
    </row>
    <row r="9" spans="2:7">
      <c r="B9" s="12">
        <v>7</v>
      </c>
      <c r="C9" s="1" t="s">
        <v>42</v>
      </c>
      <c r="D9" s="20">
        <v>1816</v>
      </c>
      <c r="E9" s="11">
        <f>D9*12</f>
        <v>0</v>
      </c>
      <c r="F9" s="13">
        <f>IFERROR(IF($D$14&gt;0,D9/$D$14,0),0)</f>
        <v>0</v>
      </c>
      <c r="G9" s="33" t="s">
        <v>42</v>
      </c>
    </row>
    <row r="10" spans="2:7">
      <c r="B10" s="12">
        <v>8</v>
      </c>
      <c r="C10" s="1" t="s">
        <v>43</v>
      </c>
      <c r="D10" s="20">
        <v>1000</v>
      </c>
      <c r="E10" s="11">
        <f>D10*12</f>
        <v>0</v>
      </c>
      <c r="F10" s="13">
        <f>IFERROR(IF($D$14&gt;0,D10/$D$14,0),0)</f>
        <v>0</v>
      </c>
      <c r="G10" s="38" t="s">
        <v>43</v>
      </c>
    </row>
    <row r="11" spans="2:7">
      <c r="B11" s="12">
        <v>9</v>
      </c>
      <c r="C11" s="1" t="s">
        <v>83</v>
      </c>
      <c r="D11" s="20">
        <v>1000</v>
      </c>
      <c r="E11" s="11">
        <f>D11*12</f>
        <v>0</v>
      </c>
      <c r="F11" s="13">
        <f>IFERROR(IF($D$14&gt;0,D11/$D$14,0),0)</f>
        <v>0</v>
      </c>
      <c r="G11" s="59" t="s">
        <v>83</v>
      </c>
    </row>
    <row r="12" spans="2:7">
      <c r="B12" s="12">
        <v>10</v>
      </c>
      <c r="C12" s="1" t="s">
        <v>84</v>
      </c>
      <c r="D12" s="20">
        <v>4300</v>
      </c>
      <c r="E12" s="11">
        <f>D12*12</f>
        <v>0</v>
      </c>
      <c r="F12" s="13">
        <f>IFERROR(IF($D$14&gt;0,D12/$D$14,0),0)</f>
        <v>0</v>
      </c>
      <c r="G12" s="60" t="s">
        <v>84</v>
      </c>
    </row>
    <row r="13" spans="2:7">
      <c r="B13" s="12">
        <v>11</v>
      </c>
      <c r="C13" s="1" t="s">
        <v>85</v>
      </c>
      <c r="D13" s="20">
        <v>2000</v>
      </c>
      <c r="E13" s="11">
        <f>D13*12</f>
        <v>0</v>
      </c>
      <c r="F13" s="13">
        <f>IFERROR(IF($D$14&gt;0,D13/$D$14,0),0)</f>
        <v>0</v>
      </c>
      <c r="G13" s="61" t="s">
        <v>85</v>
      </c>
    </row>
    <row r="14" spans="2:7">
      <c r="B14" s="22"/>
      <c r="C14" s="52" t="s">
        <v>99</v>
      </c>
      <c r="D14" s="22">
        <f>SUM(D3:D13)</f>
        <v>0</v>
      </c>
      <c r="E14" s="22">
        <f>SUM(E3:E13)</f>
        <v>0</v>
      </c>
      <c r="F14" s="23">
        <f>SUM(F3:F13)</f>
        <v>0</v>
      </c>
    </row>
    <row r="16" spans="2:7">
      <c r="B16" s="18" t="s">
        <v>100</v>
      </c>
      <c r="C16" s="18"/>
      <c r="D16" s="18"/>
      <c r="E16" s="18"/>
      <c r="F16" s="18"/>
      <c r="G16" s="18"/>
    </row>
    <row r="17" spans="3:5">
      <c r="C17" s="1" t="s">
        <v>101</v>
      </c>
      <c r="D17" s="20">
        <v>60000</v>
      </c>
      <c r="E17" s="11">
        <f>D17*12</f>
        <v>0</v>
      </c>
    </row>
    <row r="18" spans="3:5">
      <c r="C18" s="1" t="s">
        <v>102</v>
      </c>
      <c r="D18" s="62" t="s">
        <v>19</v>
      </c>
      <c r="E18" s="62" t="s">
        <v>103</v>
      </c>
    </row>
    <row r="19" spans="3:5">
      <c r="C19" s="1" t="s">
        <v>104</v>
      </c>
      <c r="D19" s="26" t="s">
        <v>105</v>
      </c>
    </row>
  </sheetData>
  <mergeCells count="2">
    <mergeCell ref="B1:G1"/>
    <mergeCell ref="B16:G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E3A5F"/>
  </sheetPr>
  <dimension ref="B1:N41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/>
  <cols>
    <col min="1" max="1" width="5.7109375" customWidth="1"/>
    <col min="2" max="2" width="6.7109375" customWidth="1"/>
    <col min="3" max="3" width="14.7109375" customWidth="1"/>
    <col min="4" max="4" width="12.7109375" customWidth="1"/>
    <col min="5" max="5" width="28.7109375" customWidth="1"/>
    <col min="6" max="6" width="38.7109375" customWidth="1"/>
    <col min="7" max="7" width="20.7109375" customWidth="1"/>
    <col min="8" max="8" width="16.7109375" customWidth="1"/>
    <col min="9" max="9" width="20.7109375" customWidth="1"/>
    <col min="11" max="11" width="28.7109375" customWidth="1"/>
    <col min="12" max="13" width="18.7109375" customWidth="1"/>
    <col min="14" max="14" width="14.7109375" customWidth="1"/>
  </cols>
  <sheetData>
    <row r="1" spans="2:14" ht="45" customHeight="1">
      <c r="B1" s="63" t="s">
        <v>106</v>
      </c>
      <c r="C1" s="63"/>
      <c r="D1" s="63"/>
      <c r="E1" s="63"/>
      <c r="F1" s="63"/>
      <c r="G1" s="63"/>
      <c r="H1" s="63"/>
      <c r="I1" s="63"/>
    </row>
    <row r="2" spans="2:14">
      <c r="B2" s="64" t="s">
        <v>107</v>
      </c>
      <c r="C2" s="64"/>
      <c r="D2" s="64"/>
      <c r="E2" s="64"/>
      <c r="F2" s="64"/>
      <c r="G2" s="64"/>
      <c r="H2" s="64"/>
      <c r="I2" s="64"/>
    </row>
    <row r="4" spans="2:14">
      <c r="B4" s="65" t="s">
        <v>108</v>
      </c>
      <c r="C4" s="65"/>
      <c r="D4" s="65"/>
      <c r="F4" s="65" t="s">
        <v>112</v>
      </c>
      <c r="G4" s="65"/>
      <c r="H4" s="65"/>
      <c r="I4" s="65"/>
      <c r="K4" s="65" t="s">
        <v>129</v>
      </c>
      <c r="L4" s="65"/>
      <c r="M4" s="65"/>
      <c r="N4" s="65"/>
    </row>
    <row r="5" spans="2:14">
      <c r="B5" s="1" t="s">
        <v>109</v>
      </c>
      <c r="C5" s="20">
        <v>0</v>
      </c>
      <c r="F5" s="1" t="s">
        <v>113</v>
      </c>
      <c r="G5" s="11">
        <v>60000</v>
      </c>
      <c r="H5" s="1" t="s">
        <v>114</v>
      </c>
      <c r="I5" s="66">
        <f>Dashboard!$N$2</f>
        <v>0</v>
      </c>
      <c r="K5" s="9" t="s">
        <v>31</v>
      </c>
      <c r="L5" s="9" t="s">
        <v>32</v>
      </c>
      <c r="M5" s="9" t="s">
        <v>33</v>
      </c>
      <c r="N5" s="9" t="s">
        <v>34</v>
      </c>
    </row>
    <row r="6" spans="2:14">
      <c r="B6" s="1" t="s">
        <v>110</v>
      </c>
      <c r="C6" s="20">
        <v>0</v>
      </c>
      <c r="F6" s="1" t="s">
        <v>92</v>
      </c>
      <c r="G6" s="20">
        <v>0</v>
      </c>
      <c r="H6" s="1" t="s">
        <v>114</v>
      </c>
      <c r="I6" s="67" t="s">
        <v>5</v>
      </c>
      <c r="K6" s="24" t="s">
        <v>36</v>
      </c>
      <c r="L6" s="11">
        <f>'Monthly Budget'!D3</f>
        <v>0</v>
      </c>
      <c r="M6" s="11">
        <f>SUMIF(E:E,K6,G:G)</f>
        <v>0</v>
      </c>
      <c r="N6" s="12">
        <f>IF(M6&gt;L6,"OVER",IF(M6&gt;L6*0.9,"WARN","OK"))</f>
        <v>0</v>
      </c>
    </row>
    <row r="7" spans="2:14">
      <c r="B7" s="1" t="s">
        <v>111</v>
      </c>
      <c r="C7" s="22">
        <f>C6-C5</f>
        <v>0</v>
      </c>
      <c r="F7" s="1" t="s">
        <v>93</v>
      </c>
      <c r="G7" s="22">
        <f>G5+G6</f>
        <v>0</v>
      </c>
      <c r="K7" s="25" t="s">
        <v>37</v>
      </c>
      <c r="L7" s="11">
        <f>'Monthly Budget'!D4</f>
        <v>0</v>
      </c>
      <c r="M7" s="11">
        <f>SUMIF(E:E,K7,G:G)</f>
        <v>0</v>
      </c>
      <c r="N7" s="12">
        <f>IF(M7&gt;L7,"OVER",IF(M7&gt;L7*0.9,"WARN","OK"))</f>
        <v>0</v>
      </c>
    </row>
    <row r="8" spans="2:14">
      <c r="K8" s="27" t="s">
        <v>38</v>
      </c>
      <c r="L8" s="11">
        <f>'Monthly Budget'!D5</f>
        <v>0</v>
      </c>
      <c r="M8" s="11">
        <f>SUMIF(E:E,K8,G:G)</f>
        <v>0</v>
      </c>
      <c r="N8" s="12">
        <f>IF(M8&gt;L8,"OVER",IF(M8&gt;L8*0.9,"WARN","OK"))</f>
        <v>0</v>
      </c>
    </row>
    <row r="9" spans="2:14">
      <c r="B9" s="65" t="s">
        <v>95</v>
      </c>
      <c r="C9" s="65" t="s">
        <v>115</v>
      </c>
      <c r="D9" s="65" t="s">
        <v>116</v>
      </c>
      <c r="E9" s="65" t="s">
        <v>31</v>
      </c>
      <c r="F9" s="65" t="s">
        <v>117</v>
      </c>
      <c r="G9" s="65" t="s">
        <v>118</v>
      </c>
      <c r="H9" s="65" t="s">
        <v>119</v>
      </c>
      <c r="I9" s="65" t="s">
        <v>120</v>
      </c>
      <c r="K9" s="29" t="s">
        <v>39</v>
      </c>
      <c r="L9" s="11">
        <f>'Monthly Budget'!D6</f>
        <v>0</v>
      </c>
      <c r="M9" s="11">
        <f>SUMIF(E:E,K9,G:G)</f>
        <v>0</v>
      </c>
      <c r="N9" s="12">
        <f>IF(M9&gt;L9,"OVER",IF(M9&gt;L9*0.9,"WARN","OK"))</f>
        <v>0</v>
      </c>
    </row>
    <row r="10" spans="2:14">
      <c r="B10" s="12">
        <v>1</v>
      </c>
      <c r="C10" s="68">
        <v>46023</v>
      </c>
      <c r="D10" s="69" t="s">
        <v>121</v>
      </c>
      <c r="E10" s="70"/>
      <c r="F10" s="70"/>
      <c r="G10" s="20"/>
      <c r="H10" s="70"/>
      <c r="I10" s="11">
        <f>G10</f>
        <v>0</v>
      </c>
      <c r="K10" s="30" t="s">
        <v>40</v>
      </c>
      <c r="L10" s="11">
        <f>'Monthly Budget'!D7</f>
        <v>0</v>
      </c>
      <c r="M10" s="11">
        <f>SUMIF(E:E,K10,G:G)</f>
        <v>0</v>
      </c>
      <c r="N10" s="12">
        <f>IF(M10&gt;L10,"OVER",IF(M10&gt;L10*0.9,"WARN","OK"))</f>
        <v>0</v>
      </c>
    </row>
    <row r="11" spans="2:14">
      <c r="B11" s="12">
        <v>2</v>
      </c>
      <c r="C11" s="68">
        <v>46024</v>
      </c>
      <c r="D11" s="69" t="s">
        <v>122</v>
      </c>
      <c r="E11" s="70"/>
      <c r="F11" s="70"/>
      <c r="G11" s="20"/>
      <c r="H11" s="70"/>
      <c r="I11" s="11">
        <f>I10+G11</f>
        <v>0</v>
      </c>
      <c r="K11" s="31" t="s">
        <v>41</v>
      </c>
      <c r="L11" s="11">
        <f>'Monthly Budget'!D8</f>
        <v>0</v>
      </c>
      <c r="M11" s="11">
        <f>SUMIF(E:E,K11,G:G)</f>
        <v>0</v>
      </c>
      <c r="N11" s="12">
        <f>IF(M11&gt;L11,"OVER",IF(M11&gt;L11*0.9,"WARN","OK"))</f>
        <v>0</v>
      </c>
    </row>
    <row r="12" spans="2:14">
      <c r="B12" s="12">
        <v>3</v>
      </c>
      <c r="C12" s="71">
        <v>46025</v>
      </c>
      <c r="D12" s="72" t="s">
        <v>123</v>
      </c>
      <c r="E12" s="70"/>
      <c r="F12" s="70"/>
      <c r="G12" s="20"/>
      <c r="H12" s="70"/>
      <c r="I12" s="11">
        <f>I11+G12</f>
        <v>0</v>
      </c>
      <c r="K12" s="33" t="s">
        <v>42</v>
      </c>
      <c r="L12" s="11">
        <f>'Monthly Budget'!D9</f>
        <v>0</v>
      </c>
      <c r="M12" s="11">
        <f>SUMIF(E:E,K12,G:G)</f>
        <v>0</v>
      </c>
      <c r="N12" s="12">
        <f>IF(M12&gt;L12,"OVER",IF(M12&gt;L12*0.9,"WARN","OK"))</f>
        <v>0</v>
      </c>
    </row>
    <row r="13" spans="2:14">
      <c r="B13" s="12">
        <v>4</v>
      </c>
      <c r="C13" s="71">
        <v>46026</v>
      </c>
      <c r="D13" s="72" t="s">
        <v>124</v>
      </c>
      <c r="E13" s="70"/>
      <c r="F13" s="70"/>
      <c r="G13" s="20"/>
      <c r="H13" s="70"/>
      <c r="I13" s="11">
        <f>I12+G13</f>
        <v>0</v>
      </c>
      <c r="K13" s="38" t="s">
        <v>43</v>
      </c>
      <c r="L13" s="11">
        <f>'Monthly Budget'!D10</f>
        <v>0</v>
      </c>
      <c r="M13" s="11">
        <f>SUMIF(E:E,K13,G:G)</f>
        <v>0</v>
      </c>
      <c r="N13" s="12">
        <f>IF(M13&gt;L13,"OVER",IF(M13&gt;L13*0.9,"WARN","OK"))</f>
        <v>0</v>
      </c>
    </row>
    <row r="14" spans="2:14">
      <c r="B14" s="12">
        <v>5</v>
      </c>
      <c r="C14" s="68">
        <v>46027</v>
      </c>
      <c r="D14" s="69" t="s">
        <v>125</v>
      </c>
      <c r="E14" s="70"/>
      <c r="F14" s="70"/>
      <c r="G14" s="20"/>
      <c r="H14" s="70"/>
      <c r="I14" s="11">
        <f>I13+G14</f>
        <v>0</v>
      </c>
      <c r="K14" s="59" t="s">
        <v>83</v>
      </c>
      <c r="L14" s="11">
        <f>'Monthly Budget'!D11</f>
        <v>0</v>
      </c>
      <c r="M14" s="11">
        <f>SUMIF(E:E,K14,G:G)</f>
        <v>0</v>
      </c>
      <c r="N14" s="12">
        <f>IF(M14&gt;L14,"OVER",IF(M14&gt;L14*0.9,"WARN","OK"))</f>
        <v>0</v>
      </c>
    </row>
    <row r="15" spans="2:14">
      <c r="B15" s="12">
        <v>6</v>
      </c>
      <c r="C15" s="68">
        <v>46028</v>
      </c>
      <c r="D15" s="69" t="s">
        <v>126</v>
      </c>
      <c r="E15" s="70"/>
      <c r="F15" s="70"/>
      <c r="G15" s="20"/>
      <c r="H15" s="70"/>
      <c r="I15" s="11">
        <f>I14+G15</f>
        <v>0</v>
      </c>
      <c r="K15" s="60" t="s">
        <v>84</v>
      </c>
      <c r="L15" s="11">
        <f>'Monthly Budget'!D12</f>
        <v>0</v>
      </c>
      <c r="M15" s="11">
        <f>SUMIF(E:E,K15,G:G)</f>
        <v>0</v>
      </c>
      <c r="N15" s="12">
        <f>IF(M15&gt;L15,"OVER",IF(M15&gt;L15*0.9,"WARN","OK"))</f>
        <v>0</v>
      </c>
    </row>
    <row r="16" spans="2:14">
      <c r="B16" s="12">
        <v>7</v>
      </c>
      <c r="C16" s="68">
        <v>46029</v>
      </c>
      <c r="D16" s="69" t="s">
        <v>127</v>
      </c>
      <c r="E16" s="70"/>
      <c r="F16" s="70"/>
      <c r="G16" s="20"/>
      <c r="H16" s="70"/>
      <c r="I16" s="11">
        <f>I15+G16</f>
        <v>0</v>
      </c>
      <c r="K16" s="61" t="s">
        <v>85</v>
      </c>
      <c r="L16" s="11">
        <f>'Monthly Budget'!D13</f>
        <v>0</v>
      </c>
      <c r="M16" s="11">
        <f>SUMIF(E:E,K16,G:G)</f>
        <v>0</v>
      </c>
      <c r="N16" s="12">
        <f>IF(M16&gt;L16,"OVER",IF(M16&gt;L16*0.9,"WARN","OK"))</f>
        <v>0</v>
      </c>
    </row>
    <row r="17" spans="2:13">
      <c r="B17" s="12">
        <v>8</v>
      </c>
      <c r="C17" s="68">
        <v>46030</v>
      </c>
      <c r="D17" s="69" t="s">
        <v>121</v>
      </c>
      <c r="E17" s="70"/>
      <c r="F17" s="70"/>
      <c r="G17" s="20"/>
      <c r="H17" s="70"/>
      <c r="I17" s="11">
        <f>I16+G17</f>
        <v>0</v>
      </c>
      <c r="K17" s="52" t="s">
        <v>65</v>
      </c>
      <c r="L17" s="22">
        <f>SUM(L6:L16)</f>
        <v>0</v>
      </c>
      <c r="M17" s="22">
        <f>SUM(M6:M16)</f>
        <v>0</v>
      </c>
    </row>
    <row r="18" spans="2:13">
      <c r="B18" s="12">
        <v>9</v>
      </c>
      <c r="C18" s="68">
        <v>46031</v>
      </c>
      <c r="D18" s="69" t="s">
        <v>122</v>
      </c>
      <c r="E18" s="70"/>
      <c r="F18" s="70"/>
      <c r="G18" s="20"/>
      <c r="H18" s="70"/>
      <c r="I18" s="11">
        <f>I17+G18</f>
        <v>0</v>
      </c>
    </row>
    <row r="19" spans="2:13">
      <c r="B19" s="12">
        <v>10</v>
      </c>
      <c r="C19" s="71">
        <v>46032</v>
      </c>
      <c r="D19" s="72" t="s">
        <v>123</v>
      </c>
      <c r="E19" s="70"/>
      <c r="F19" s="70"/>
      <c r="G19" s="20"/>
      <c r="H19" s="70"/>
      <c r="I19" s="11">
        <f>I18+G19</f>
        <v>0</v>
      </c>
    </row>
    <row r="20" spans="2:13">
      <c r="B20" s="12">
        <v>11</v>
      </c>
      <c r="C20" s="71">
        <v>46033</v>
      </c>
      <c r="D20" s="72" t="s">
        <v>124</v>
      </c>
      <c r="E20" s="70"/>
      <c r="F20" s="70"/>
      <c r="G20" s="20"/>
      <c r="H20" s="70"/>
      <c r="I20" s="11">
        <f>I19+G20</f>
        <v>0</v>
      </c>
    </row>
    <row r="21" spans="2:13">
      <c r="B21" s="12">
        <v>12</v>
      </c>
      <c r="C21" s="68">
        <v>46034</v>
      </c>
      <c r="D21" s="69" t="s">
        <v>125</v>
      </c>
      <c r="E21" s="70"/>
      <c r="F21" s="70"/>
      <c r="G21" s="20"/>
      <c r="H21" s="70"/>
      <c r="I21" s="11">
        <f>I20+G21</f>
        <v>0</v>
      </c>
    </row>
    <row r="22" spans="2:13">
      <c r="B22" s="12">
        <v>13</v>
      </c>
      <c r="C22" s="68">
        <v>46035</v>
      </c>
      <c r="D22" s="69" t="s">
        <v>126</v>
      </c>
      <c r="E22" s="70"/>
      <c r="F22" s="70"/>
      <c r="G22" s="20"/>
      <c r="H22" s="70"/>
      <c r="I22" s="11">
        <f>I21+G22</f>
        <v>0</v>
      </c>
    </row>
    <row r="23" spans="2:13">
      <c r="B23" s="12">
        <v>14</v>
      </c>
      <c r="C23" s="68">
        <v>46036</v>
      </c>
      <c r="D23" s="69" t="s">
        <v>127</v>
      </c>
      <c r="E23" s="70"/>
      <c r="F23" s="70"/>
      <c r="G23" s="20"/>
      <c r="H23" s="70"/>
      <c r="I23" s="11">
        <f>I22+G23</f>
        <v>0</v>
      </c>
    </row>
    <row r="24" spans="2:13">
      <c r="B24" s="12">
        <v>15</v>
      </c>
      <c r="C24" s="68">
        <v>46037</v>
      </c>
      <c r="D24" s="69" t="s">
        <v>121</v>
      </c>
      <c r="E24" s="70"/>
      <c r="F24" s="70"/>
      <c r="G24" s="20"/>
      <c r="H24" s="70"/>
      <c r="I24" s="11">
        <f>I23+G24</f>
        <v>0</v>
      </c>
    </row>
    <row r="25" spans="2:13">
      <c r="B25" s="12">
        <v>16</v>
      </c>
      <c r="C25" s="68">
        <v>46038</v>
      </c>
      <c r="D25" s="69" t="s">
        <v>122</v>
      </c>
      <c r="E25" s="70"/>
      <c r="F25" s="70"/>
      <c r="G25" s="20"/>
      <c r="H25" s="70"/>
      <c r="I25" s="11">
        <f>I24+G25</f>
        <v>0</v>
      </c>
    </row>
    <row r="26" spans="2:13">
      <c r="B26" s="12">
        <v>17</v>
      </c>
      <c r="C26" s="71">
        <v>46039</v>
      </c>
      <c r="D26" s="72" t="s">
        <v>123</v>
      </c>
      <c r="E26" s="70"/>
      <c r="F26" s="70"/>
      <c r="G26" s="20"/>
      <c r="H26" s="70"/>
      <c r="I26" s="11">
        <f>I25+G26</f>
        <v>0</v>
      </c>
    </row>
    <row r="27" spans="2:13">
      <c r="B27" s="12">
        <v>18</v>
      </c>
      <c r="C27" s="71">
        <v>46040</v>
      </c>
      <c r="D27" s="72" t="s">
        <v>124</v>
      </c>
      <c r="E27" s="70"/>
      <c r="F27" s="70"/>
      <c r="G27" s="20"/>
      <c r="H27" s="70"/>
      <c r="I27" s="11">
        <f>I26+G27</f>
        <v>0</v>
      </c>
    </row>
    <row r="28" spans="2:13">
      <c r="B28" s="12">
        <v>19</v>
      </c>
      <c r="C28" s="68">
        <v>46041</v>
      </c>
      <c r="D28" s="69" t="s">
        <v>125</v>
      </c>
      <c r="E28" s="70"/>
      <c r="F28" s="70"/>
      <c r="G28" s="20"/>
      <c r="H28" s="70"/>
      <c r="I28" s="11">
        <f>I27+G28</f>
        <v>0</v>
      </c>
    </row>
    <row r="29" spans="2:13">
      <c r="B29" s="12">
        <v>20</v>
      </c>
      <c r="C29" s="68">
        <v>46042</v>
      </c>
      <c r="D29" s="69" t="s">
        <v>126</v>
      </c>
      <c r="E29" s="70"/>
      <c r="F29" s="70"/>
      <c r="G29" s="20"/>
      <c r="H29" s="70"/>
      <c r="I29" s="11">
        <f>I28+G29</f>
        <v>0</v>
      </c>
    </row>
    <row r="30" spans="2:13">
      <c r="B30" s="12">
        <v>21</v>
      </c>
      <c r="C30" s="68">
        <v>46043</v>
      </c>
      <c r="D30" s="69" t="s">
        <v>127</v>
      </c>
      <c r="E30" s="70"/>
      <c r="F30" s="70"/>
      <c r="G30" s="20"/>
      <c r="H30" s="70"/>
      <c r="I30" s="11">
        <f>I29+G30</f>
        <v>0</v>
      </c>
    </row>
    <row r="31" spans="2:13">
      <c r="B31" s="12">
        <v>22</v>
      </c>
      <c r="C31" s="68">
        <v>46044</v>
      </c>
      <c r="D31" s="69" t="s">
        <v>121</v>
      </c>
      <c r="E31" s="70"/>
      <c r="F31" s="70"/>
      <c r="G31" s="20"/>
      <c r="H31" s="70"/>
      <c r="I31" s="11">
        <f>I30+G31</f>
        <v>0</v>
      </c>
    </row>
    <row r="32" spans="2:13">
      <c r="B32" s="12">
        <v>23</v>
      </c>
      <c r="C32" s="68">
        <v>46045</v>
      </c>
      <c r="D32" s="69" t="s">
        <v>122</v>
      </c>
      <c r="E32" s="70"/>
      <c r="F32" s="70"/>
      <c r="G32" s="20"/>
      <c r="H32" s="70"/>
      <c r="I32" s="11">
        <f>I31+G32</f>
        <v>0</v>
      </c>
    </row>
    <row r="33" spans="2:9">
      <c r="B33" s="12">
        <v>24</v>
      </c>
      <c r="C33" s="71">
        <v>46046</v>
      </c>
      <c r="D33" s="72" t="s">
        <v>123</v>
      </c>
      <c r="E33" s="70"/>
      <c r="F33" s="70"/>
      <c r="G33" s="20"/>
      <c r="H33" s="70"/>
      <c r="I33" s="11">
        <f>I32+G33</f>
        <v>0</v>
      </c>
    </row>
    <row r="34" spans="2:9">
      <c r="B34" s="12">
        <v>25</v>
      </c>
      <c r="C34" s="71">
        <v>46047</v>
      </c>
      <c r="D34" s="72" t="s">
        <v>124</v>
      </c>
      <c r="E34" s="70"/>
      <c r="F34" s="70"/>
      <c r="G34" s="20"/>
      <c r="H34" s="70"/>
      <c r="I34" s="11">
        <f>I33+G34</f>
        <v>0</v>
      </c>
    </row>
    <row r="35" spans="2:9">
      <c r="B35" s="12">
        <v>26</v>
      </c>
      <c r="C35" s="68">
        <v>46048</v>
      </c>
      <c r="D35" s="69" t="s">
        <v>125</v>
      </c>
      <c r="E35" s="70"/>
      <c r="F35" s="70"/>
      <c r="G35" s="20"/>
      <c r="H35" s="70"/>
      <c r="I35" s="11">
        <f>I34+G35</f>
        <v>0</v>
      </c>
    </row>
    <row r="36" spans="2:9">
      <c r="B36" s="12">
        <v>27</v>
      </c>
      <c r="C36" s="68">
        <v>46049</v>
      </c>
      <c r="D36" s="69" t="s">
        <v>126</v>
      </c>
      <c r="E36" s="70"/>
      <c r="F36" s="70"/>
      <c r="G36" s="20"/>
      <c r="H36" s="70"/>
      <c r="I36" s="11">
        <f>I35+G36</f>
        <v>0</v>
      </c>
    </row>
    <row r="37" spans="2:9">
      <c r="B37" s="12">
        <v>28</v>
      </c>
      <c r="C37" s="68">
        <v>46050</v>
      </c>
      <c r="D37" s="69" t="s">
        <v>127</v>
      </c>
      <c r="E37" s="70"/>
      <c r="F37" s="70"/>
      <c r="G37" s="20"/>
      <c r="H37" s="70"/>
      <c r="I37" s="11">
        <f>I36+G37</f>
        <v>0</v>
      </c>
    </row>
    <row r="38" spans="2:9">
      <c r="B38" s="12">
        <v>29</v>
      </c>
      <c r="C38" s="68">
        <v>46051</v>
      </c>
      <c r="D38" s="69" t="s">
        <v>121</v>
      </c>
      <c r="E38" s="70"/>
      <c r="F38" s="70"/>
      <c r="G38" s="20"/>
      <c r="H38" s="70"/>
      <c r="I38" s="11">
        <f>I37+G38</f>
        <v>0</v>
      </c>
    </row>
    <row r="39" spans="2:9">
      <c r="B39" s="12">
        <v>30</v>
      </c>
      <c r="C39" s="68">
        <v>46052</v>
      </c>
      <c r="D39" s="69" t="s">
        <v>122</v>
      </c>
      <c r="E39" s="70"/>
      <c r="F39" s="70"/>
      <c r="G39" s="20"/>
      <c r="H39" s="70"/>
      <c r="I39" s="11">
        <f>I38+G39</f>
        <v>0</v>
      </c>
    </row>
    <row r="40" spans="2:9">
      <c r="B40" s="12">
        <v>31</v>
      </c>
      <c r="C40" s="71">
        <v>46053</v>
      </c>
      <c r="D40" s="72" t="s">
        <v>123</v>
      </c>
      <c r="E40" s="70"/>
      <c r="F40" s="70"/>
      <c r="G40" s="20"/>
      <c r="H40" s="70"/>
      <c r="I40" s="11">
        <f>I39+G40</f>
        <v>0</v>
      </c>
    </row>
    <row r="41" spans="2:9">
      <c r="F41" s="73" t="s">
        <v>128</v>
      </c>
      <c r="G41" s="74">
        <f>SUM(G10:G40)</f>
        <v>0</v>
      </c>
    </row>
  </sheetData>
  <mergeCells count="5">
    <mergeCell ref="B1:I1"/>
    <mergeCell ref="B2:I2"/>
    <mergeCell ref="B4:D4"/>
    <mergeCell ref="F4:I4"/>
    <mergeCell ref="K4:N4"/>
  </mergeCells>
  <conditionalFormatting sqref="E10:E40">
    <cfRule type="containsText" dxfId="3" priority="1" operator="containsText" text="Rent + Utilities">
      <formula>NOT(ISERROR(SEARCH("Rent + Utilities",E10)))</formula>
    </cfRule>
    <cfRule type="containsText" dxfId="4" priority="2" operator="containsText" text="Electricity Deposit">
      <formula>NOT(ISERROR(SEARCH("Electricity Deposit",E10)))</formula>
    </cfRule>
    <cfRule type="containsText" dxfId="5" priority="3" operator="containsText" text="Internet &amp; Phone Bills">
      <formula>NOT(ISERROR(SEARCH("Internet &amp; Phone Bills",E10)))</formula>
    </cfRule>
    <cfRule type="containsText" dxfId="6" priority="4" operator="containsText" text="Food &amp; Groceries">
      <formula>NOT(ISERROR(SEARCH("Food &amp; Groceries",E10)))</formula>
    </cfRule>
    <cfRule type="containsText" dxfId="7" priority="5" operator="containsText" text="Investments">
      <formula>NOT(ISERROR(SEARCH("Investments",E10)))</formula>
    </cfRule>
    <cfRule type="containsText" dxfId="8" priority="6" operator="containsText" text="Date Nights">
      <formula>NOT(ISERROR(SEARCH("Date Nights",E10)))</formula>
    </cfRule>
    <cfRule type="containsText" dxfId="9" priority="7" operator="containsText" text="Annual Costs Savings">
      <formula>NOT(ISERROR(SEARCH("Annual Costs Savings",E10)))</formula>
    </cfRule>
    <cfRule type="containsText" dxfId="10" priority="8" operator="containsText" text="Emergency Buffer">
      <formula>NOT(ISERROR(SEARCH("Emergency Buffer",E10)))</formula>
    </cfRule>
    <cfRule type="containsText" dxfId="11" priority="9" operator="containsText" text="Personal Care">
      <formula>NOT(ISERROR(SEARCH("Personal Care",E10)))</formula>
    </cfRule>
    <cfRule type="containsText" dxfId="12" priority="10" operator="containsText" text="Personal Savings">
      <formula>NOT(ISERROR(SEARCH("Personal Savings",E10)))</formula>
    </cfRule>
    <cfRule type="containsText" dxfId="13" priority="11" operator="containsText" text="Miscellaneous">
      <formula>NOT(ISERROR(SEARCH("Miscellaneous",E10)))</formula>
    </cfRule>
  </conditionalFormatting>
  <conditionalFormatting sqref="N10">
    <cfRule type="containsText" dxfId="0" priority="24" operator="containsText" text="OVER">
      <formula>NOT(ISERROR(SEARCH("OVER",N10)))</formula>
    </cfRule>
    <cfRule type="containsText" dxfId="1" priority="25" operator="containsText" text="WARN">
      <formula>NOT(ISERROR(SEARCH("WARN",N10)))</formula>
    </cfRule>
    <cfRule type="containsText" dxfId="2" priority="26" operator="containsText" text="OK">
      <formula>NOT(ISERROR(SEARCH("OK",N10)))</formula>
    </cfRule>
  </conditionalFormatting>
  <conditionalFormatting sqref="N11">
    <cfRule type="containsText" dxfId="0" priority="27" operator="containsText" text="OVER">
      <formula>NOT(ISERROR(SEARCH("OVER",N11)))</formula>
    </cfRule>
    <cfRule type="containsText" dxfId="1" priority="28" operator="containsText" text="WARN">
      <formula>NOT(ISERROR(SEARCH("WARN",N11)))</formula>
    </cfRule>
    <cfRule type="containsText" dxfId="2" priority="29" operator="containsText" text="OK">
      <formula>NOT(ISERROR(SEARCH("OK",N11)))</formula>
    </cfRule>
  </conditionalFormatting>
  <conditionalFormatting sqref="N12">
    <cfRule type="containsText" dxfId="0" priority="30" operator="containsText" text="OVER">
      <formula>NOT(ISERROR(SEARCH("OVER",N12)))</formula>
    </cfRule>
    <cfRule type="containsText" dxfId="1" priority="31" operator="containsText" text="WARN">
      <formula>NOT(ISERROR(SEARCH("WARN",N12)))</formula>
    </cfRule>
    <cfRule type="containsText" dxfId="2" priority="32" operator="containsText" text="OK">
      <formula>NOT(ISERROR(SEARCH("OK",N12)))</formula>
    </cfRule>
  </conditionalFormatting>
  <conditionalFormatting sqref="N13">
    <cfRule type="containsText" dxfId="0" priority="33" operator="containsText" text="OVER">
      <formula>NOT(ISERROR(SEARCH("OVER",N13)))</formula>
    </cfRule>
    <cfRule type="containsText" dxfId="1" priority="34" operator="containsText" text="WARN">
      <formula>NOT(ISERROR(SEARCH("WARN",N13)))</formula>
    </cfRule>
    <cfRule type="containsText" dxfId="2" priority="35" operator="containsText" text="OK">
      <formula>NOT(ISERROR(SEARCH("OK",N13)))</formula>
    </cfRule>
  </conditionalFormatting>
  <conditionalFormatting sqref="N14">
    <cfRule type="containsText" dxfId="0" priority="36" operator="containsText" text="OVER">
      <formula>NOT(ISERROR(SEARCH("OVER",N14)))</formula>
    </cfRule>
    <cfRule type="containsText" dxfId="1" priority="37" operator="containsText" text="WARN">
      <formula>NOT(ISERROR(SEARCH("WARN",N14)))</formula>
    </cfRule>
    <cfRule type="containsText" dxfId="2" priority="38" operator="containsText" text="OK">
      <formula>NOT(ISERROR(SEARCH("OK",N14)))</formula>
    </cfRule>
  </conditionalFormatting>
  <conditionalFormatting sqref="N15">
    <cfRule type="containsText" dxfId="0" priority="39" operator="containsText" text="OVER">
      <formula>NOT(ISERROR(SEARCH("OVER",N15)))</formula>
    </cfRule>
    <cfRule type="containsText" dxfId="1" priority="40" operator="containsText" text="WARN">
      <formula>NOT(ISERROR(SEARCH("WARN",N15)))</formula>
    </cfRule>
    <cfRule type="containsText" dxfId="2" priority="41" operator="containsText" text="OK">
      <formula>NOT(ISERROR(SEARCH("OK",N15)))</formula>
    </cfRule>
  </conditionalFormatting>
  <conditionalFormatting sqref="N16">
    <cfRule type="containsText" dxfId="0" priority="42" operator="containsText" text="OVER">
      <formula>NOT(ISERROR(SEARCH("OVER",N16)))</formula>
    </cfRule>
    <cfRule type="containsText" dxfId="1" priority="43" operator="containsText" text="WARN">
      <formula>NOT(ISERROR(SEARCH("WARN",N16)))</formula>
    </cfRule>
    <cfRule type="containsText" dxfId="2" priority="44" operator="containsText" text="OK">
      <formula>NOT(ISERROR(SEARCH("OK",N16)))</formula>
    </cfRule>
  </conditionalFormatting>
  <conditionalFormatting sqref="N6">
    <cfRule type="containsText" dxfId="0" priority="12" operator="containsText" text="OVER">
      <formula>NOT(ISERROR(SEARCH("OVER",N6)))</formula>
    </cfRule>
    <cfRule type="containsText" dxfId="1" priority="13" operator="containsText" text="WARN">
      <formula>NOT(ISERROR(SEARCH("WARN",N6)))</formula>
    </cfRule>
    <cfRule type="containsText" dxfId="2" priority="14" operator="containsText" text="OK">
      <formula>NOT(ISERROR(SEARCH("OK",N6)))</formula>
    </cfRule>
  </conditionalFormatting>
  <conditionalFormatting sqref="N7">
    <cfRule type="containsText" dxfId="0" priority="15" operator="containsText" text="OVER">
      <formula>NOT(ISERROR(SEARCH("OVER",N7)))</formula>
    </cfRule>
    <cfRule type="containsText" dxfId="1" priority="16" operator="containsText" text="WARN">
      <formula>NOT(ISERROR(SEARCH("WARN",N7)))</formula>
    </cfRule>
    <cfRule type="containsText" dxfId="2" priority="17" operator="containsText" text="OK">
      <formula>NOT(ISERROR(SEARCH("OK",N7)))</formula>
    </cfRule>
  </conditionalFormatting>
  <conditionalFormatting sqref="N8">
    <cfRule type="containsText" dxfId="0" priority="18" operator="containsText" text="OVER">
      <formula>NOT(ISERROR(SEARCH("OVER",N8)))</formula>
    </cfRule>
    <cfRule type="containsText" dxfId="1" priority="19" operator="containsText" text="WARN">
      <formula>NOT(ISERROR(SEARCH("WARN",N8)))</formula>
    </cfRule>
    <cfRule type="containsText" dxfId="2" priority="20" operator="containsText" text="OK">
      <formula>NOT(ISERROR(SEARCH("OK",N8)))</formula>
    </cfRule>
  </conditionalFormatting>
  <conditionalFormatting sqref="N9">
    <cfRule type="containsText" dxfId="0" priority="21" operator="containsText" text="OVER">
      <formula>NOT(ISERROR(SEARCH("OVER",N9)))</formula>
    </cfRule>
    <cfRule type="containsText" dxfId="1" priority="22" operator="containsText" text="WARN">
      <formula>NOT(ISERROR(SEARCH("WARN",N9)))</formula>
    </cfRule>
    <cfRule type="containsText" dxfId="2" priority="23" operator="containsText" text="OK">
      <formula>NOT(ISERROR(SEARCH("OK",N9)))</formula>
    </cfRule>
  </conditionalFormatting>
  <dataValidations count="63">
    <dataValidation type="list" allowBlank="1" showInputMessage="1" showErrorMessage="1" sqref="I6">
      <formula1>"CZK,USD,EUR,NGN"</formula1>
    </dataValidation>
    <dataValidation type="list" allowBlank="1" showInputMessage="1" showErrorMessage="1" sqref="E1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0">
      <formula1>"Cash,Card,Transfer,Online"</formula1>
    </dataValidation>
    <dataValidation type="list" allowBlank="1" showInputMessage="1" showErrorMessage="1" sqref="E1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1">
      <formula1>"Cash,Card,Transfer,Online"</formula1>
    </dataValidation>
    <dataValidation type="list" allowBlank="1" showInputMessage="1" showErrorMessage="1" sqref="E1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2">
      <formula1>"Cash,Card,Transfer,Online"</formula1>
    </dataValidation>
    <dataValidation type="list" allowBlank="1" showInputMessage="1" showErrorMessage="1" sqref="E1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3">
      <formula1>"Cash,Card,Transfer,Online"</formula1>
    </dataValidation>
    <dataValidation type="list" allowBlank="1" showInputMessage="1" showErrorMessage="1" sqref="E1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4">
      <formula1>"Cash,Card,Transfer,Online"</formula1>
    </dataValidation>
    <dataValidation type="list" allowBlank="1" showInputMessage="1" showErrorMessage="1" sqref="E1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5">
      <formula1>"Cash,Card,Transfer,Online"</formula1>
    </dataValidation>
    <dataValidation type="list" allowBlank="1" showInputMessage="1" showErrorMessage="1" sqref="E1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6">
      <formula1>"Cash,Card,Transfer,Online"</formula1>
    </dataValidation>
    <dataValidation type="list" allowBlank="1" showInputMessage="1" showErrorMessage="1" sqref="E1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7">
      <formula1>"Cash,Card,Transfer,Online"</formula1>
    </dataValidation>
    <dataValidation type="list" allowBlank="1" showInputMessage="1" showErrorMessage="1" sqref="E1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8">
      <formula1>"Cash,Card,Transfer,Online"</formula1>
    </dataValidation>
    <dataValidation type="list" allowBlank="1" showInputMessage="1" showErrorMessage="1" sqref="E1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9">
      <formula1>"Cash,Card,Transfer,Online"</formula1>
    </dataValidation>
    <dataValidation type="list" allowBlank="1" showInputMessage="1" showErrorMessage="1" sqref="E2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0">
      <formula1>"Cash,Card,Transfer,Online"</formula1>
    </dataValidation>
    <dataValidation type="list" allowBlank="1" showInputMessage="1" showErrorMessage="1" sqref="E2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1">
      <formula1>"Cash,Card,Transfer,Online"</formula1>
    </dataValidation>
    <dataValidation type="list" allowBlank="1" showInputMessage="1" showErrorMessage="1" sqref="E2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2">
      <formula1>"Cash,Card,Transfer,Online"</formula1>
    </dataValidation>
    <dataValidation type="list" allowBlank="1" showInputMessage="1" showErrorMessage="1" sqref="E2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3">
      <formula1>"Cash,Card,Transfer,Online"</formula1>
    </dataValidation>
    <dataValidation type="list" allowBlank="1" showInputMessage="1" showErrorMessage="1" sqref="E2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4">
      <formula1>"Cash,Card,Transfer,Online"</formula1>
    </dataValidation>
    <dataValidation type="list" allowBlank="1" showInputMessage="1" showErrorMessage="1" sqref="E2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5">
      <formula1>"Cash,Card,Transfer,Online"</formula1>
    </dataValidation>
    <dataValidation type="list" allowBlank="1" showInputMessage="1" showErrorMessage="1" sqref="E2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6">
      <formula1>"Cash,Card,Transfer,Online"</formula1>
    </dataValidation>
    <dataValidation type="list" allowBlank="1" showInputMessage="1" showErrorMessage="1" sqref="E2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7">
      <formula1>"Cash,Card,Transfer,Online"</formula1>
    </dataValidation>
    <dataValidation type="list" allowBlank="1" showInputMessage="1" showErrorMessage="1" sqref="E2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8">
      <formula1>"Cash,Card,Transfer,Online"</formula1>
    </dataValidation>
    <dataValidation type="list" allowBlank="1" showInputMessage="1" showErrorMessage="1" sqref="E2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9">
      <formula1>"Cash,Card,Transfer,Online"</formula1>
    </dataValidation>
    <dataValidation type="list" allowBlank="1" showInputMessage="1" showErrorMessage="1" sqref="E3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0">
      <formula1>"Cash,Card,Transfer,Online"</formula1>
    </dataValidation>
    <dataValidation type="list" allowBlank="1" showInputMessage="1" showErrorMessage="1" sqref="E3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1">
      <formula1>"Cash,Card,Transfer,Online"</formula1>
    </dataValidation>
    <dataValidation type="list" allowBlank="1" showInputMessage="1" showErrorMessage="1" sqref="E3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2">
      <formula1>"Cash,Card,Transfer,Online"</formula1>
    </dataValidation>
    <dataValidation type="list" allowBlank="1" showInputMessage="1" showErrorMessage="1" sqref="E3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3">
      <formula1>"Cash,Card,Transfer,Online"</formula1>
    </dataValidation>
    <dataValidation type="list" allowBlank="1" showInputMessage="1" showErrorMessage="1" sqref="E3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4">
      <formula1>"Cash,Card,Transfer,Online"</formula1>
    </dataValidation>
    <dataValidation type="list" allowBlank="1" showInputMessage="1" showErrorMessage="1" sqref="E3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5">
      <formula1>"Cash,Card,Transfer,Online"</formula1>
    </dataValidation>
    <dataValidation type="list" allowBlank="1" showInputMessage="1" showErrorMessage="1" sqref="E3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6">
      <formula1>"Cash,Card,Transfer,Online"</formula1>
    </dataValidation>
    <dataValidation type="list" allowBlank="1" showInputMessage="1" showErrorMessage="1" sqref="E3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7">
      <formula1>"Cash,Card,Transfer,Online"</formula1>
    </dataValidation>
    <dataValidation type="list" allowBlank="1" showInputMessage="1" showErrorMessage="1" sqref="E3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8">
      <formula1>"Cash,Card,Transfer,Online"</formula1>
    </dataValidation>
    <dataValidation type="list" allowBlank="1" showInputMessage="1" showErrorMessage="1" sqref="E3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9">
      <formula1>"Cash,Card,Transfer,Online"</formula1>
    </dataValidation>
    <dataValidation type="list" allowBlank="1" showInputMessage="1" showErrorMessage="1" sqref="E4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40">
      <formula1>"Cash,Card,Transfer,Online"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E44AD"/>
  </sheetPr>
  <dimension ref="B1:N38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/>
  <cols>
    <col min="1" max="1" width="5.7109375" customWidth="1"/>
    <col min="2" max="2" width="6.7109375" customWidth="1"/>
    <col min="3" max="3" width="14.7109375" customWidth="1"/>
    <col min="4" max="4" width="12.7109375" customWidth="1"/>
    <col min="5" max="5" width="28.7109375" customWidth="1"/>
    <col min="6" max="6" width="38.7109375" customWidth="1"/>
    <col min="7" max="7" width="20.7109375" customWidth="1"/>
    <col min="8" max="8" width="16.7109375" customWidth="1"/>
    <col min="9" max="9" width="20.7109375" customWidth="1"/>
    <col min="11" max="11" width="28.7109375" customWidth="1"/>
    <col min="12" max="13" width="18.7109375" customWidth="1"/>
    <col min="14" max="14" width="14.7109375" customWidth="1"/>
  </cols>
  <sheetData>
    <row r="1" spans="2:14" ht="45" customHeight="1">
      <c r="B1" s="75" t="s">
        <v>130</v>
      </c>
      <c r="C1" s="75"/>
      <c r="D1" s="75"/>
      <c r="E1" s="75"/>
      <c r="F1" s="75"/>
      <c r="G1" s="75"/>
      <c r="H1" s="75"/>
      <c r="I1" s="75"/>
    </row>
    <row r="2" spans="2:14">
      <c r="B2" s="76" t="s">
        <v>131</v>
      </c>
      <c r="C2" s="76"/>
      <c r="D2" s="76"/>
      <c r="E2" s="76"/>
      <c r="F2" s="76"/>
      <c r="G2" s="76"/>
      <c r="H2" s="76"/>
      <c r="I2" s="76"/>
    </row>
    <row r="4" spans="2:14">
      <c r="B4" s="77" t="s">
        <v>108</v>
      </c>
      <c r="C4" s="77"/>
      <c r="D4" s="77"/>
      <c r="F4" s="77" t="s">
        <v>112</v>
      </c>
      <c r="G4" s="77"/>
      <c r="H4" s="77"/>
      <c r="I4" s="77"/>
      <c r="K4" s="77" t="s">
        <v>132</v>
      </c>
      <c r="L4" s="77"/>
      <c r="M4" s="77"/>
      <c r="N4" s="77"/>
    </row>
    <row r="5" spans="2:14">
      <c r="B5" s="1" t="s">
        <v>109</v>
      </c>
      <c r="C5" s="20">
        <v>0</v>
      </c>
      <c r="F5" s="1" t="s">
        <v>113</v>
      </c>
      <c r="G5" s="11">
        <v>60000</v>
      </c>
      <c r="H5" s="1" t="s">
        <v>114</v>
      </c>
      <c r="I5" s="66">
        <f>Dashboard!$N$2</f>
        <v>0</v>
      </c>
      <c r="K5" s="9" t="s">
        <v>31</v>
      </c>
      <c r="L5" s="9" t="s">
        <v>32</v>
      </c>
      <c r="M5" s="9" t="s">
        <v>33</v>
      </c>
      <c r="N5" s="9" t="s">
        <v>34</v>
      </c>
    </row>
    <row r="6" spans="2:14">
      <c r="B6" s="1" t="s">
        <v>110</v>
      </c>
      <c r="C6" s="20">
        <v>0</v>
      </c>
      <c r="F6" s="1" t="s">
        <v>92</v>
      </c>
      <c r="G6" s="20">
        <v>0</v>
      </c>
      <c r="H6" s="1" t="s">
        <v>114</v>
      </c>
      <c r="I6" s="67" t="s">
        <v>5</v>
      </c>
      <c r="K6" s="24" t="s">
        <v>36</v>
      </c>
      <c r="L6" s="11">
        <f>'Monthly Budget'!D3</f>
        <v>0</v>
      </c>
      <c r="M6" s="11">
        <f>SUMIF(E:E,K6,G:G)</f>
        <v>0</v>
      </c>
      <c r="N6" s="12">
        <f>IF(M6&gt;L6,"OVER",IF(M6&gt;L6*0.9,"WARN","OK"))</f>
        <v>0</v>
      </c>
    </row>
    <row r="7" spans="2:14">
      <c r="B7" s="1" t="s">
        <v>111</v>
      </c>
      <c r="C7" s="22">
        <f>C6-C5</f>
        <v>0</v>
      </c>
      <c r="F7" s="1" t="s">
        <v>93</v>
      </c>
      <c r="G7" s="22">
        <f>G5+G6</f>
        <v>0</v>
      </c>
      <c r="K7" s="25" t="s">
        <v>37</v>
      </c>
      <c r="L7" s="11">
        <f>'Monthly Budget'!D4</f>
        <v>0</v>
      </c>
      <c r="M7" s="11">
        <f>SUMIF(E:E,K7,G:G)</f>
        <v>0</v>
      </c>
      <c r="N7" s="12">
        <f>IF(M7&gt;L7,"OVER",IF(M7&gt;L7*0.9,"WARN","OK"))</f>
        <v>0</v>
      </c>
    </row>
    <row r="8" spans="2:14">
      <c r="K8" s="27" t="s">
        <v>38</v>
      </c>
      <c r="L8" s="11">
        <f>'Monthly Budget'!D5</f>
        <v>0</v>
      </c>
      <c r="M8" s="11">
        <f>SUMIF(E:E,K8,G:G)</f>
        <v>0</v>
      </c>
      <c r="N8" s="12">
        <f>IF(M8&gt;L8,"OVER",IF(M8&gt;L8*0.9,"WARN","OK"))</f>
        <v>0</v>
      </c>
    </row>
    <row r="9" spans="2:14">
      <c r="B9" s="77" t="s">
        <v>95</v>
      </c>
      <c r="C9" s="77" t="s">
        <v>115</v>
      </c>
      <c r="D9" s="77" t="s">
        <v>116</v>
      </c>
      <c r="E9" s="77" t="s">
        <v>31</v>
      </c>
      <c r="F9" s="77" t="s">
        <v>117</v>
      </c>
      <c r="G9" s="77" t="s">
        <v>118</v>
      </c>
      <c r="H9" s="77" t="s">
        <v>119</v>
      </c>
      <c r="I9" s="77" t="s">
        <v>120</v>
      </c>
      <c r="K9" s="29" t="s">
        <v>39</v>
      </c>
      <c r="L9" s="11">
        <f>'Monthly Budget'!D6</f>
        <v>0</v>
      </c>
      <c r="M9" s="11">
        <f>SUMIF(E:E,K9,G:G)</f>
        <v>0</v>
      </c>
      <c r="N9" s="12">
        <f>IF(M9&gt;L9,"OVER",IF(M9&gt;L9*0.9,"WARN","OK"))</f>
        <v>0</v>
      </c>
    </row>
    <row r="10" spans="2:14">
      <c r="B10" s="12">
        <v>1</v>
      </c>
      <c r="C10" s="71">
        <v>46054</v>
      </c>
      <c r="D10" s="72" t="s">
        <v>124</v>
      </c>
      <c r="E10" s="70"/>
      <c r="F10" s="70"/>
      <c r="G10" s="20"/>
      <c r="H10" s="70"/>
      <c r="I10" s="11">
        <f>G10</f>
        <v>0</v>
      </c>
      <c r="K10" s="30" t="s">
        <v>40</v>
      </c>
      <c r="L10" s="11">
        <f>'Monthly Budget'!D7</f>
        <v>0</v>
      </c>
      <c r="M10" s="11">
        <f>SUMIF(E:E,K10,G:G)</f>
        <v>0</v>
      </c>
      <c r="N10" s="12">
        <f>IF(M10&gt;L10,"OVER",IF(M10&gt;L10*0.9,"WARN","OK"))</f>
        <v>0</v>
      </c>
    </row>
    <row r="11" spans="2:14">
      <c r="B11" s="12">
        <v>2</v>
      </c>
      <c r="C11" s="68">
        <v>46055</v>
      </c>
      <c r="D11" s="69" t="s">
        <v>125</v>
      </c>
      <c r="E11" s="70"/>
      <c r="F11" s="70"/>
      <c r="G11" s="20"/>
      <c r="H11" s="70"/>
      <c r="I11" s="11">
        <f>I10+G11</f>
        <v>0</v>
      </c>
      <c r="K11" s="31" t="s">
        <v>41</v>
      </c>
      <c r="L11" s="11">
        <f>'Monthly Budget'!D8</f>
        <v>0</v>
      </c>
      <c r="M11" s="11">
        <f>SUMIF(E:E,K11,G:G)</f>
        <v>0</v>
      </c>
      <c r="N11" s="12">
        <f>IF(M11&gt;L11,"OVER",IF(M11&gt;L11*0.9,"WARN","OK"))</f>
        <v>0</v>
      </c>
    </row>
    <row r="12" spans="2:14">
      <c r="B12" s="12">
        <v>3</v>
      </c>
      <c r="C12" s="68">
        <v>46056</v>
      </c>
      <c r="D12" s="69" t="s">
        <v>126</v>
      </c>
      <c r="E12" s="70"/>
      <c r="F12" s="70"/>
      <c r="G12" s="20"/>
      <c r="H12" s="70"/>
      <c r="I12" s="11">
        <f>I11+G12</f>
        <v>0</v>
      </c>
      <c r="K12" s="33" t="s">
        <v>42</v>
      </c>
      <c r="L12" s="11">
        <f>'Monthly Budget'!D9</f>
        <v>0</v>
      </c>
      <c r="M12" s="11">
        <f>SUMIF(E:E,K12,G:G)</f>
        <v>0</v>
      </c>
      <c r="N12" s="12">
        <f>IF(M12&gt;L12,"OVER",IF(M12&gt;L12*0.9,"WARN","OK"))</f>
        <v>0</v>
      </c>
    </row>
    <row r="13" spans="2:14">
      <c r="B13" s="12">
        <v>4</v>
      </c>
      <c r="C13" s="68">
        <v>46057</v>
      </c>
      <c r="D13" s="69" t="s">
        <v>127</v>
      </c>
      <c r="E13" s="70"/>
      <c r="F13" s="70"/>
      <c r="G13" s="20"/>
      <c r="H13" s="70"/>
      <c r="I13" s="11">
        <f>I12+G13</f>
        <v>0</v>
      </c>
      <c r="K13" s="38" t="s">
        <v>43</v>
      </c>
      <c r="L13" s="11">
        <f>'Monthly Budget'!D10</f>
        <v>0</v>
      </c>
      <c r="M13" s="11">
        <f>SUMIF(E:E,K13,G:G)</f>
        <v>0</v>
      </c>
      <c r="N13" s="12">
        <f>IF(M13&gt;L13,"OVER",IF(M13&gt;L13*0.9,"WARN","OK"))</f>
        <v>0</v>
      </c>
    </row>
    <row r="14" spans="2:14">
      <c r="B14" s="12">
        <v>5</v>
      </c>
      <c r="C14" s="68">
        <v>46058</v>
      </c>
      <c r="D14" s="69" t="s">
        <v>121</v>
      </c>
      <c r="E14" s="70"/>
      <c r="F14" s="70"/>
      <c r="G14" s="20"/>
      <c r="H14" s="70"/>
      <c r="I14" s="11">
        <f>I13+G14</f>
        <v>0</v>
      </c>
      <c r="K14" s="59" t="s">
        <v>83</v>
      </c>
      <c r="L14" s="11">
        <f>'Monthly Budget'!D11</f>
        <v>0</v>
      </c>
      <c r="M14" s="11">
        <f>SUMIF(E:E,K14,G:G)</f>
        <v>0</v>
      </c>
      <c r="N14" s="12">
        <f>IF(M14&gt;L14,"OVER",IF(M14&gt;L14*0.9,"WARN","OK"))</f>
        <v>0</v>
      </c>
    </row>
    <row r="15" spans="2:14">
      <c r="B15" s="12">
        <v>6</v>
      </c>
      <c r="C15" s="68">
        <v>46059</v>
      </c>
      <c r="D15" s="69" t="s">
        <v>122</v>
      </c>
      <c r="E15" s="70"/>
      <c r="F15" s="70"/>
      <c r="G15" s="20"/>
      <c r="H15" s="70"/>
      <c r="I15" s="11">
        <f>I14+G15</f>
        <v>0</v>
      </c>
      <c r="K15" s="60" t="s">
        <v>84</v>
      </c>
      <c r="L15" s="11">
        <f>'Monthly Budget'!D12</f>
        <v>0</v>
      </c>
      <c r="M15" s="11">
        <f>SUMIF(E:E,K15,G:G)</f>
        <v>0</v>
      </c>
      <c r="N15" s="12">
        <f>IF(M15&gt;L15,"OVER",IF(M15&gt;L15*0.9,"WARN","OK"))</f>
        <v>0</v>
      </c>
    </row>
    <row r="16" spans="2:14">
      <c r="B16" s="12">
        <v>7</v>
      </c>
      <c r="C16" s="71">
        <v>46060</v>
      </c>
      <c r="D16" s="72" t="s">
        <v>123</v>
      </c>
      <c r="E16" s="70"/>
      <c r="F16" s="70"/>
      <c r="G16" s="20"/>
      <c r="H16" s="70"/>
      <c r="I16" s="11">
        <f>I15+G16</f>
        <v>0</v>
      </c>
      <c r="K16" s="61" t="s">
        <v>85</v>
      </c>
      <c r="L16" s="11">
        <f>'Monthly Budget'!D13</f>
        <v>0</v>
      </c>
      <c r="M16" s="11">
        <f>SUMIF(E:E,K16,G:G)</f>
        <v>0</v>
      </c>
      <c r="N16" s="12">
        <f>IF(M16&gt;L16,"OVER",IF(M16&gt;L16*0.9,"WARN","OK"))</f>
        <v>0</v>
      </c>
    </row>
    <row r="17" spans="2:13">
      <c r="B17" s="12">
        <v>8</v>
      </c>
      <c r="C17" s="71">
        <v>46061</v>
      </c>
      <c r="D17" s="72" t="s">
        <v>124</v>
      </c>
      <c r="E17" s="70"/>
      <c r="F17" s="70"/>
      <c r="G17" s="20"/>
      <c r="H17" s="70"/>
      <c r="I17" s="11">
        <f>I16+G17</f>
        <v>0</v>
      </c>
      <c r="K17" s="52" t="s">
        <v>65</v>
      </c>
      <c r="L17" s="22">
        <f>SUM(L6:L16)</f>
        <v>0</v>
      </c>
      <c r="M17" s="22">
        <f>SUM(M6:M16)</f>
        <v>0</v>
      </c>
    </row>
    <row r="18" spans="2:13">
      <c r="B18" s="12">
        <v>9</v>
      </c>
      <c r="C18" s="68">
        <v>46062</v>
      </c>
      <c r="D18" s="69" t="s">
        <v>125</v>
      </c>
      <c r="E18" s="70"/>
      <c r="F18" s="70"/>
      <c r="G18" s="20"/>
      <c r="H18" s="70"/>
      <c r="I18" s="11">
        <f>I17+G18</f>
        <v>0</v>
      </c>
    </row>
    <row r="19" spans="2:13">
      <c r="B19" s="12">
        <v>10</v>
      </c>
      <c r="C19" s="68">
        <v>46063</v>
      </c>
      <c r="D19" s="69" t="s">
        <v>126</v>
      </c>
      <c r="E19" s="70"/>
      <c r="F19" s="70"/>
      <c r="G19" s="20"/>
      <c r="H19" s="70"/>
      <c r="I19" s="11">
        <f>I18+G19</f>
        <v>0</v>
      </c>
    </row>
    <row r="20" spans="2:13">
      <c r="B20" s="12">
        <v>11</v>
      </c>
      <c r="C20" s="68">
        <v>46064</v>
      </c>
      <c r="D20" s="69" t="s">
        <v>127</v>
      </c>
      <c r="E20" s="70"/>
      <c r="F20" s="70"/>
      <c r="G20" s="20"/>
      <c r="H20" s="70"/>
      <c r="I20" s="11">
        <f>I19+G20</f>
        <v>0</v>
      </c>
    </row>
    <row r="21" spans="2:13">
      <c r="B21" s="12">
        <v>12</v>
      </c>
      <c r="C21" s="68">
        <v>46065</v>
      </c>
      <c r="D21" s="69" t="s">
        <v>121</v>
      </c>
      <c r="E21" s="70"/>
      <c r="F21" s="70"/>
      <c r="G21" s="20"/>
      <c r="H21" s="70"/>
      <c r="I21" s="11">
        <f>I20+G21</f>
        <v>0</v>
      </c>
    </row>
    <row r="22" spans="2:13">
      <c r="B22" s="12">
        <v>13</v>
      </c>
      <c r="C22" s="68">
        <v>46066</v>
      </c>
      <c r="D22" s="69" t="s">
        <v>122</v>
      </c>
      <c r="E22" s="70"/>
      <c r="F22" s="70"/>
      <c r="G22" s="20"/>
      <c r="H22" s="70"/>
      <c r="I22" s="11">
        <f>I21+G22</f>
        <v>0</v>
      </c>
    </row>
    <row r="23" spans="2:13">
      <c r="B23" s="12">
        <v>14</v>
      </c>
      <c r="C23" s="71">
        <v>46067</v>
      </c>
      <c r="D23" s="72" t="s">
        <v>123</v>
      </c>
      <c r="E23" s="70"/>
      <c r="F23" s="70"/>
      <c r="G23" s="20"/>
      <c r="H23" s="70"/>
      <c r="I23" s="11">
        <f>I22+G23</f>
        <v>0</v>
      </c>
    </row>
    <row r="24" spans="2:13">
      <c r="B24" s="12">
        <v>15</v>
      </c>
      <c r="C24" s="71">
        <v>46068</v>
      </c>
      <c r="D24" s="72" t="s">
        <v>124</v>
      </c>
      <c r="E24" s="70"/>
      <c r="F24" s="70"/>
      <c r="G24" s="20"/>
      <c r="H24" s="70"/>
      <c r="I24" s="11">
        <f>I23+G24</f>
        <v>0</v>
      </c>
    </row>
    <row r="25" spans="2:13">
      <c r="B25" s="12">
        <v>16</v>
      </c>
      <c r="C25" s="68">
        <v>46069</v>
      </c>
      <c r="D25" s="69" t="s">
        <v>125</v>
      </c>
      <c r="E25" s="70"/>
      <c r="F25" s="70"/>
      <c r="G25" s="20"/>
      <c r="H25" s="70"/>
      <c r="I25" s="11">
        <f>I24+G25</f>
        <v>0</v>
      </c>
    </row>
    <row r="26" spans="2:13">
      <c r="B26" s="12">
        <v>17</v>
      </c>
      <c r="C26" s="68">
        <v>46070</v>
      </c>
      <c r="D26" s="69" t="s">
        <v>126</v>
      </c>
      <c r="E26" s="70"/>
      <c r="F26" s="70"/>
      <c r="G26" s="20"/>
      <c r="H26" s="70"/>
      <c r="I26" s="11">
        <f>I25+G26</f>
        <v>0</v>
      </c>
    </row>
    <row r="27" spans="2:13">
      <c r="B27" s="12">
        <v>18</v>
      </c>
      <c r="C27" s="68">
        <v>46071</v>
      </c>
      <c r="D27" s="69" t="s">
        <v>127</v>
      </c>
      <c r="E27" s="70"/>
      <c r="F27" s="70"/>
      <c r="G27" s="20"/>
      <c r="H27" s="70"/>
      <c r="I27" s="11">
        <f>I26+G27</f>
        <v>0</v>
      </c>
    </row>
    <row r="28" spans="2:13">
      <c r="B28" s="12">
        <v>19</v>
      </c>
      <c r="C28" s="68">
        <v>46072</v>
      </c>
      <c r="D28" s="69" t="s">
        <v>121</v>
      </c>
      <c r="E28" s="70"/>
      <c r="F28" s="70"/>
      <c r="G28" s="20"/>
      <c r="H28" s="70"/>
      <c r="I28" s="11">
        <f>I27+G28</f>
        <v>0</v>
      </c>
    </row>
    <row r="29" spans="2:13">
      <c r="B29" s="12">
        <v>20</v>
      </c>
      <c r="C29" s="68">
        <v>46073</v>
      </c>
      <c r="D29" s="69" t="s">
        <v>122</v>
      </c>
      <c r="E29" s="70"/>
      <c r="F29" s="70"/>
      <c r="G29" s="20"/>
      <c r="H29" s="70"/>
      <c r="I29" s="11">
        <f>I28+G29</f>
        <v>0</v>
      </c>
    </row>
    <row r="30" spans="2:13">
      <c r="B30" s="12">
        <v>21</v>
      </c>
      <c r="C30" s="71">
        <v>46074</v>
      </c>
      <c r="D30" s="72" t="s">
        <v>123</v>
      </c>
      <c r="E30" s="70"/>
      <c r="F30" s="70"/>
      <c r="G30" s="20"/>
      <c r="H30" s="70"/>
      <c r="I30" s="11">
        <f>I29+G30</f>
        <v>0</v>
      </c>
    </row>
    <row r="31" spans="2:13">
      <c r="B31" s="12">
        <v>22</v>
      </c>
      <c r="C31" s="71">
        <v>46075</v>
      </c>
      <c r="D31" s="72" t="s">
        <v>124</v>
      </c>
      <c r="E31" s="70"/>
      <c r="F31" s="70"/>
      <c r="G31" s="20"/>
      <c r="H31" s="70"/>
      <c r="I31" s="11">
        <f>I30+G31</f>
        <v>0</v>
      </c>
    </row>
    <row r="32" spans="2:13">
      <c r="B32" s="12">
        <v>23</v>
      </c>
      <c r="C32" s="68">
        <v>46076</v>
      </c>
      <c r="D32" s="69" t="s">
        <v>125</v>
      </c>
      <c r="E32" s="70"/>
      <c r="F32" s="70"/>
      <c r="G32" s="20"/>
      <c r="H32" s="70"/>
      <c r="I32" s="11">
        <f>I31+G32</f>
        <v>0</v>
      </c>
    </row>
    <row r="33" spans="2:9">
      <c r="B33" s="12">
        <v>24</v>
      </c>
      <c r="C33" s="68">
        <v>46077</v>
      </c>
      <c r="D33" s="69" t="s">
        <v>126</v>
      </c>
      <c r="E33" s="70"/>
      <c r="F33" s="70"/>
      <c r="G33" s="20"/>
      <c r="H33" s="70"/>
      <c r="I33" s="11">
        <f>I32+G33</f>
        <v>0</v>
      </c>
    </row>
    <row r="34" spans="2:9">
      <c r="B34" s="12">
        <v>25</v>
      </c>
      <c r="C34" s="68">
        <v>46078</v>
      </c>
      <c r="D34" s="69" t="s">
        <v>127</v>
      </c>
      <c r="E34" s="70"/>
      <c r="F34" s="70"/>
      <c r="G34" s="20"/>
      <c r="H34" s="70"/>
      <c r="I34" s="11">
        <f>I33+G34</f>
        <v>0</v>
      </c>
    </row>
    <row r="35" spans="2:9">
      <c r="B35" s="12">
        <v>26</v>
      </c>
      <c r="C35" s="68">
        <v>46079</v>
      </c>
      <c r="D35" s="69" t="s">
        <v>121</v>
      </c>
      <c r="E35" s="70"/>
      <c r="F35" s="70"/>
      <c r="G35" s="20"/>
      <c r="H35" s="70"/>
      <c r="I35" s="11">
        <f>I34+G35</f>
        <v>0</v>
      </c>
    </row>
    <row r="36" spans="2:9">
      <c r="B36" s="12">
        <v>27</v>
      </c>
      <c r="C36" s="68">
        <v>46080</v>
      </c>
      <c r="D36" s="69" t="s">
        <v>122</v>
      </c>
      <c r="E36" s="70"/>
      <c r="F36" s="70"/>
      <c r="G36" s="20"/>
      <c r="H36" s="70"/>
      <c r="I36" s="11">
        <f>I35+G36</f>
        <v>0</v>
      </c>
    </row>
    <row r="37" spans="2:9">
      <c r="B37" s="12">
        <v>28</v>
      </c>
      <c r="C37" s="71">
        <v>46081</v>
      </c>
      <c r="D37" s="72" t="s">
        <v>123</v>
      </c>
      <c r="E37" s="70"/>
      <c r="F37" s="70"/>
      <c r="G37" s="20"/>
      <c r="H37" s="70"/>
      <c r="I37" s="11">
        <f>I36+G37</f>
        <v>0</v>
      </c>
    </row>
    <row r="38" spans="2:9">
      <c r="F38" s="78" t="s">
        <v>128</v>
      </c>
      <c r="G38" s="79">
        <f>SUM(G10:G37)</f>
        <v>0</v>
      </c>
    </row>
  </sheetData>
  <mergeCells count="5">
    <mergeCell ref="B1:I1"/>
    <mergeCell ref="B2:I2"/>
    <mergeCell ref="B4:D4"/>
    <mergeCell ref="F4:I4"/>
    <mergeCell ref="K4:N4"/>
  </mergeCells>
  <conditionalFormatting sqref="E10:E37">
    <cfRule type="containsText" dxfId="3" priority="1" operator="containsText" text="Rent + Utilities">
      <formula>NOT(ISERROR(SEARCH("Rent + Utilities",E10)))</formula>
    </cfRule>
    <cfRule type="containsText" dxfId="4" priority="2" operator="containsText" text="Electricity Deposit">
      <formula>NOT(ISERROR(SEARCH("Electricity Deposit",E10)))</formula>
    </cfRule>
    <cfRule type="containsText" dxfId="5" priority="3" operator="containsText" text="Internet &amp; Phone Bills">
      <formula>NOT(ISERROR(SEARCH("Internet &amp; Phone Bills",E10)))</formula>
    </cfRule>
    <cfRule type="containsText" dxfId="6" priority="4" operator="containsText" text="Food &amp; Groceries">
      <formula>NOT(ISERROR(SEARCH("Food &amp; Groceries",E10)))</formula>
    </cfRule>
    <cfRule type="containsText" dxfId="7" priority="5" operator="containsText" text="Investments">
      <formula>NOT(ISERROR(SEARCH("Investments",E10)))</formula>
    </cfRule>
    <cfRule type="containsText" dxfId="8" priority="6" operator="containsText" text="Date Nights">
      <formula>NOT(ISERROR(SEARCH("Date Nights",E10)))</formula>
    </cfRule>
    <cfRule type="containsText" dxfId="9" priority="7" operator="containsText" text="Annual Costs Savings">
      <formula>NOT(ISERROR(SEARCH("Annual Costs Savings",E10)))</formula>
    </cfRule>
    <cfRule type="containsText" dxfId="10" priority="8" operator="containsText" text="Emergency Buffer">
      <formula>NOT(ISERROR(SEARCH("Emergency Buffer",E10)))</formula>
    </cfRule>
    <cfRule type="containsText" dxfId="11" priority="9" operator="containsText" text="Personal Care">
      <formula>NOT(ISERROR(SEARCH("Personal Care",E10)))</formula>
    </cfRule>
    <cfRule type="containsText" dxfId="12" priority="10" operator="containsText" text="Personal Savings">
      <formula>NOT(ISERROR(SEARCH("Personal Savings",E10)))</formula>
    </cfRule>
    <cfRule type="containsText" dxfId="13" priority="11" operator="containsText" text="Miscellaneous">
      <formula>NOT(ISERROR(SEARCH("Miscellaneous",E10)))</formula>
    </cfRule>
  </conditionalFormatting>
  <conditionalFormatting sqref="N10">
    <cfRule type="containsText" dxfId="0" priority="24" operator="containsText" text="OVER">
      <formula>NOT(ISERROR(SEARCH("OVER",N10)))</formula>
    </cfRule>
    <cfRule type="containsText" dxfId="1" priority="25" operator="containsText" text="WARN">
      <formula>NOT(ISERROR(SEARCH("WARN",N10)))</formula>
    </cfRule>
    <cfRule type="containsText" dxfId="2" priority="26" operator="containsText" text="OK">
      <formula>NOT(ISERROR(SEARCH("OK",N10)))</formula>
    </cfRule>
  </conditionalFormatting>
  <conditionalFormatting sqref="N11">
    <cfRule type="containsText" dxfId="0" priority="27" operator="containsText" text="OVER">
      <formula>NOT(ISERROR(SEARCH("OVER",N11)))</formula>
    </cfRule>
    <cfRule type="containsText" dxfId="1" priority="28" operator="containsText" text="WARN">
      <formula>NOT(ISERROR(SEARCH("WARN",N11)))</formula>
    </cfRule>
    <cfRule type="containsText" dxfId="2" priority="29" operator="containsText" text="OK">
      <formula>NOT(ISERROR(SEARCH("OK",N11)))</formula>
    </cfRule>
  </conditionalFormatting>
  <conditionalFormatting sqref="N12">
    <cfRule type="containsText" dxfId="0" priority="30" operator="containsText" text="OVER">
      <formula>NOT(ISERROR(SEARCH("OVER",N12)))</formula>
    </cfRule>
    <cfRule type="containsText" dxfId="1" priority="31" operator="containsText" text="WARN">
      <formula>NOT(ISERROR(SEARCH("WARN",N12)))</formula>
    </cfRule>
    <cfRule type="containsText" dxfId="2" priority="32" operator="containsText" text="OK">
      <formula>NOT(ISERROR(SEARCH("OK",N12)))</formula>
    </cfRule>
  </conditionalFormatting>
  <conditionalFormatting sqref="N13">
    <cfRule type="containsText" dxfId="0" priority="33" operator="containsText" text="OVER">
      <formula>NOT(ISERROR(SEARCH("OVER",N13)))</formula>
    </cfRule>
    <cfRule type="containsText" dxfId="1" priority="34" operator="containsText" text="WARN">
      <formula>NOT(ISERROR(SEARCH("WARN",N13)))</formula>
    </cfRule>
    <cfRule type="containsText" dxfId="2" priority="35" operator="containsText" text="OK">
      <formula>NOT(ISERROR(SEARCH("OK",N13)))</formula>
    </cfRule>
  </conditionalFormatting>
  <conditionalFormatting sqref="N14">
    <cfRule type="containsText" dxfId="0" priority="36" operator="containsText" text="OVER">
      <formula>NOT(ISERROR(SEARCH("OVER",N14)))</formula>
    </cfRule>
    <cfRule type="containsText" dxfId="1" priority="37" operator="containsText" text="WARN">
      <formula>NOT(ISERROR(SEARCH("WARN",N14)))</formula>
    </cfRule>
    <cfRule type="containsText" dxfId="2" priority="38" operator="containsText" text="OK">
      <formula>NOT(ISERROR(SEARCH("OK",N14)))</formula>
    </cfRule>
  </conditionalFormatting>
  <conditionalFormatting sqref="N15">
    <cfRule type="containsText" dxfId="0" priority="39" operator="containsText" text="OVER">
      <formula>NOT(ISERROR(SEARCH("OVER",N15)))</formula>
    </cfRule>
    <cfRule type="containsText" dxfId="1" priority="40" operator="containsText" text="WARN">
      <formula>NOT(ISERROR(SEARCH("WARN",N15)))</formula>
    </cfRule>
    <cfRule type="containsText" dxfId="2" priority="41" operator="containsText" text="OK">
      <formula>NOT(ISERROR(SEARCH("OK",N15)))</formula>
    </cfRule>
  </conditionalFormatting>
  <conditionalFormatting sqref="N16">
    <cfRule type="containsText" dxfId="0" priority="42" operator="containsText" text="OVER">
      <formula>NOT(ISERROR(SEARCH("OVER",N16)))</formula>
    </cfRule>
    <cfRule type="containsText" dxfId="1" priority="43" operator="containsText" text="WARN">
      <formula>NOT(ISERROR(SEARCH("WARN",N16)))</formula>
    </cfRule>
    <cfRule type="containsText" dxfId="2" priority="44" operator="containsText" text="OK">
      <formula>NOT(ISERROR(SEARCH("OK",N16)))</formula>
    </cfRule>
  </conditionalFormatting>
  <conditionalFormatting sqref="N6">
    <cfRule type="containsText" dxfId="0" priority="12" operator="containsText" text="OVER">
      <formula>NOT(ISERROR(SEARCH("OVER",N6)))</formula>
    </cfRule>
    <cfRule type="containsText" dxfId="1" priority="13" operator="containsText" text="WARN">
      <formula>NOT(ISERROR(SEARCH("WARN",N6)))</formula>
    </cfRule>
    <cfRule type="containsText" dxfId="2" priority="14" operator="containsText" text="OK">
      <formula>NOT(ISERROR(SEARCH("OK",N6)))</formula>
    </cfRule>
  </conditionalFormatting>
  <conditionalFormatting sqref="N7">
    <cfRule type="containsText" dxfId="0" priority="15" operator="containsText" text="OVER">
      <formula>NOT(ISERROR(SEARCH("OVER",N7)))</formula>
    </cfRule>
    <cfRule type="containsText" dxfId="1" priority="16" operator="containsText" text="WARN">
      <formula>NOT(ISERROR(SEARCH("WARN",N7)))</formula>
    </cfRule>
    <cfRule type="containsText" dxfId="2" priority="17" operator="containsText" text="OK">
      <formula>NOT(ISERROR(SEARCH("OK",N7)))</formula>
    </cfRule>
  </conditionalFormatting>
  <conditionalFormatting sqref="N8">
    <cfRule type="containsText" dxfId="0" priority="18" operator="containsText" text="OVER">
      <formula>NOT(ISERROR(SEARCH("OVER",N8)))</formula>
    </cfRule>
    <cfRule type="containsText" dxfId="1" priority="19" operator="containsText" text="WARN">
      <formula>NOT(ISERROR(SEARCH("WARN",N8)))</formula>
    </cfRule>
    <cfRule type="containsText" dxfId="2" priority="20" operator="containsText" text="OK">
      <formula>NOT(ISERROR(SEARCH("OK",N8)))</formula>
    </cfRule>
  </conditionalFormatting>
  <conditionalFormatting sqref="N9">
    <cfRule type="containsText" dxfId="0" priority="21" operator="containsText" text="OVER">
      <formula>NOT(ISERROR(SEARCH("OVER",N9)))</formula>
    </cfRule>
    <cfRule type="containsText" dxfId="1" priority="22" operator="containsText" text="WARN">
      <formula>NOT(ISERROR(SEARCH("WARN",N9)))</formula>
    </cfRule>
    <cfRule type="containsText" dxfId="2" priority="23" operator="containsText" text="OK">
      <formula>NOT(ISERROR(SEARCH("OK",N9)))</formula>
    </cfRule>
  </conditionalFormatting>
  <dataValidations count="57">
    <dataValidation type="list" allowBlank="1" showInputMessage="1" showErrorMessage="1" sqref="I6">
      <formula1>"CZK,USD,EUR,NGN"</formula1>
    </dataValidation>
    <dataValidation type="list" allowBlank="1" showInputMessage="1" showErrorMessage="1" sqref="E1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0">
      <formula1>"Cash,Card,Transfer,Online"</formula1>
    </dataValidation>
    <dataValidation type="list" allowBlank="1" showInputMessage="1" showErrorMessage="1" sqref="E1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1">
      <formula1>"Cash,Card,Transfer,Online"</formula1>
    </dataValidation>
    <dataValidation type="list" allowBlank="1" showInputMessage="1" showErrorMessage="1" sqref="E1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2">
      <formula1>"Cash,Card,Transfer,Online"</formula1>
    </dataValidation>
    <dataValidation type="list" allowBlank="1" showInputMessage="1" showErrorMessage="1" sqref="E1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3">
      <formula1>"Cash,Card,Transfer,Online"</formula1>
    </dataValidation>
    <dataValidation type="list" allowBlank="1" showInputMessage="1" showErrorMessage="1" sqref="E1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4">
      <formula1>"Cash,Card,Transfer,Online"</formula1>
    </dataValidation>
    <dataValidation type="list" allowBlank="1" showInputMessage="1" showErrorMessage="1" sqref="E1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5">
      <formula1>"Cash,Card,Transfer,Online"</formula1>
    </dataValidation>
    <dataValidation type="list" allowBlank="1" showInputMessage="1" showErrorMessage="1" sqref="E1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6">
      <formula1>"Cash,Card,Transfer,Online"</formula1>
    </dataValidation>
    <dataValidation type="list" allowBlank="1" showInputMessage="1" showErrorMessage="1" sqref="E1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7">
      <formula1>"Cash,Card,Transfer,Online"</formula1>
    </dataValidation>
    <dataValidation type="list" allowBlank="1" showInputMessage="1" showErrorMessage="1" sqref="E1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8">
      <formula1>"Cash,Card,Transfer,Online"</formula1>
    </dataValidation>
    <dataValidation type="list" allowBlank="1" showInputMessage="1" showErrorMessage="1" sqref="E1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9">
      <formula1>"Cash,Card,Transfer,Online"</formula1>
    </dataValidation>
    <dataValidation type="list" allowBlank="1" showInputMessage="1" showErrorMessage="1" sqref="E2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0">
      <formula1>"Cash,Card,Transfer,Online"</formula1>
    </dataValidation>
    <dataValidation type="list" allowBlank="1" showInputMessage="1" showErrorMessage="1" sqref="E2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1">
      <formula1>"Cash,Card,Transfer,Online"</formula1>
    </dataValidation>
    <dataValidation type="list" allowBlank="1" showInputMessage="1" showErrorMessage="1" sqref="E2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2">
      <formula1>"Cash,Card,Transfer,Online"</formula1>
    </dataValidation>
    <dataValidation type="list" allowBlank="1" showInputMessage="1" showErrorMessage="1" sqref="E2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3">
      <formula1>"Cash,Card,Transfer,Online"</formula1>
    </dataValidation>
    <dataValidation type="list" allowBlank="1" showInputMessage="1" showErrorMessage="1" sqref="E2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4">
      <formula1>"Cash,Card,Transfer,Online"</formula1>
    </dataValidation>
    <dataValidation type="list" allowBlank="1" showInputMessage="1" showErrorMessage="1" sqref="E2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5">
      <formula1>"Cash,Card,Transfer,Online"</formula1>
    </dataValidation>
    <dataValidation type="list" allowBlank="1" showInputMessage="1" showErrorMessage="1" sqref="E2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6">
      <formula1>"Cash,Card,Transfer,Online"</formula1>
    </dataValidation>
    <dataValidation type="list" allowBlank="1" showInputMessage="1" showErrorMessage="1" sqref="E2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7">
      <formula1>"Cash,Card,Transfer,Online"</formula1>
    </dataValidation>
    <dataValidation type="list" allowBlank="1" showInputMessage="1" showErrorMessage="1" sqref="E2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8">
      <formula1>"Cash,Card,Transfer,Online"</formula1>
    </dataValidation>
    <dataValidation type="list" allowBlank="1" showInputMessage="1" showErrorMessage="1" sqref="E2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9">
      <formula1>"Cash,Card,Transfer,Online"</formula1>
    </dataValidation>
    <dataValidation type="list" allowBlank="1" showInputMessage="1" showErrorMessage="1" sqref="E3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0">
      <formula1>"Cash,Card,Transfer,Online"</formula1>
    </dataValidation>
    <dataValidation type="list" allowBlank="1" showInputMessage="1" showErrorMessage="1" sqref="E3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1">
      <formula1>"Cash,Card,Transfer,Online"</formula1>
    </dataValidation>
    <dataValidation type="list" allowBlank="1" showInputMessage="1" showErrorMessage="1" sqref="E3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2">
      <formula1>"Cash,Card,Transfer,Online"</formula1>
    </dataValidation>
    <dataValidation type="list" allowBlank="1" showInputMessage="1" showErrorMessage="1" sqref="E3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3">
      <formula1>"Cash,Card,Transfer,Online"</formula1>
    </dataValidation>
    <dataValidation type="list" allowBlank="1" showInputMessage="1" showErrorMessage="1" sqref="E3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4">
      <formula1>"Cash,Card,Transfer,Online"</formula1>
    </dataValidation>
    <dataValidation type="list" allowBlank="1" showInputMessage="1" showErrorMessage="1" sqref="E3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5">
      <formula1>"Cash,Card,Transfer,Online"</formula1>
    </dataValidation>
    <dataValidation type="list" allowBlank="1" showInputMessage="1" showErrorMessage="1" sqref="E3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6">
      <formula1>"Cash,Card,Transfer,Online"</formula1>
    </dataValidation>
    <dataValidation type="list" allowBlank="1" showInputMessage="1" showErrorMessage="1" sqref="E3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7">
      <formula1>"Cash,Card,Transfer,Online"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7AE60"/>
  </sheetPr>
  <dimension ref="B1:N41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/>
  <cols>
    <col min="1" max="1" width="5.7109375" customWidth="1"/>
    <col min="2" max="2" width="6.7109375" customWidth="1"/>
    <col min="3" max="3" width="14.7109375" customWidth="1"/>
    <col min="4" max="4" width="12.7109375" customWidth="1"/>
    <col min="5" max="5" width="28.7109375" customWidth="1"/>
    <col min="6" max="6" width="38.7109375" customWidth="1"/>
    <col min="7" max="7" width="20.7109375" customWidth="1"/>
    <col min="8" max="8" width="16.7109375" customWidth="1"/>
    <col min="9" max="9" width="20.7109375" customWidth="1"/>
    <col min="11" max="11" width="28.7109375" customWidth="1"/>
    <col min="12" max="13" width="18.7109375" customWidth="1"/>
    <col min="14" max="14" width="14.7109375" customWidth="1"/>
  </cols>
  <sheetData>
    <row r="1" spans="2:14" ht="45" customHeight="1">
      <c r="B1" s="80" t="s">
        <v>133</v>
      </c>
      <c r="C1" s="80"/>
      <c r="D1" s="80"/>
      <c r="E1" s="80"/>
      <c r="F1" s="80"/>
      <c r="G1" s="80"/>
      <c r="H1" s="80"/>
      <c r="I1" s="80"/>
    </row>
    <row r="2" spans="2:14">
      <c r="B2" s="81" t="s">
        <v>134</v>
      </c>
      <c r="C2" s="81"/>
      <c r="D2" s="81"/>
      <c r="E2" s="81"/>
      <c r="F2" s="81"/>
      <c r="G2" s="81"/>
      <c r="H2" s="81"/>
      <c r="I2" s="81"/>
    </row>
    <row r="4" spans="2:14">
      <c r="B4" s="82" t="s">
        <v>108</v>
      </c>
      <c r="C4" s="82"/>
      <c r="D4" s="82"/>
      <c r="F4" s="82" t="s">
        <v>112</v>
      </c>
      <c r="G4" s="82"/>
      <c r="H4" s="82"/>
      <c r="I4" s="82"/>
      <c r="K4" s="82" t="s">
        <v>135</v>
      </c>
      <c r="L4" s="82"/>
      <c r="M4" s="82"/>
      <c r="N4" s="82"/>
    </row>
    <row r="5" spans="2:14">
      <c r="B5" s="1" t="s">
        <v>109</v>
      </c>
      <c r="C5" s="20">
        <v>0</v>
      </c>
      <c r="F5" s="1" t="s">
        <v>113</v>
      </c>
      <c r="G5" s="11">
        <v>60000</v>
      </c>
      <c r="H5" s="1" t="s">
        <v>114</v>
      </c>
      <c r="I5" s="66">
        <f>Dashboard!$N$2</f>
        <v>0</v>
      </c>
      <c r="K5" s="9" t="s">
        <v>31</v>
      </c>
      <c r="L5" s="9" t="s">
        <v>32</v>
      </c>
      <c r="M5" s="9" t="s">
        <v>33</v>
      </c>
      <c r="N5" s="9" t="s">
        <v>34</v>
      </c>
    </row>
    <row r="6" spans="2:14">
      <c r="B6" s="1" t="s">
        <v>110</v>
      </c>
      <c r="C6" s="20">
        <v>0</v>
      </c>
      <c r="F6" s="1" t="s">
        <v>92</v>
      </c>
      <c r="G6" s="20">
        <v>0</v>
      </c>
      <c r="H6" s="1" t="s">
        <v>114</v>
      </c>
      <c r="I6" s="67" t="s">
        <v>5</v>
      </c>
      <c r="K6" s="24" t="s">
        <v>36</v>
      </c>
      <c r="L6" s="11">
        <f>'Monthly Budget'!D3</f>
        <v>0</v>
      </c>
      <c r="M6" s="11">
        <f>SUMIF(E:E,K6,G:G)</f>
        <v>0</v>
      </c>
      <c r="N6" s="12">
        <f>IF(M6&gt;L6,"OVER",IF(M6&gt;L6*0.9,"WARN","OK"))</f>
        <v>0</v>
      </c>
    </row>
    <row r="7" spans="2:14">
      <c r="B7" s="1" t="s">
        <v>111</v>
      </c>
      <c r="C7" s="22">
        <f>C6-C5</f>
        <v>0</v>
      </c>
      <c r="F7" s="1" t="s">
        <v>93</v>
      </c>
      <c r="G7" s="22">
        <f>G5+G6</f>
        <v>0</v>
      </c>
      <c r="K7" s="25" t="s">
        <v>37</v>
      </c>
      <c r="L7" s="11">
        <f>'Monthly Budget'!D4</f>
        <v>0</v>
      </c>
      <c r="M7" s="11">
        <f>SUMIF(E:E,K7,G:G)</f>
        <v>0</v>
      </c>
      <c r="N7" s="12">
        <f>IF(M7&gt;L7,"OVER",IF(M7&gt;L7*0.9,"WARN","OK"))</f>
        <v>0</v>
      </c>
    </row>
    <row r="8" spans="2:14">
      <c r="K8" s="27" t="s">
        <v>38</v>
      </c>
      <c r="L8" s="11">
        <f>'Monthly Budget'!D5</f>
        <v>0</v>
      </c>
      <c r="M8" s="11">
        <f>SUMIF(E:E,K8,G:G)</f>
        <v>0</v>
      </c>
      <c r="N8" s="12">
        <f>IF(M8&gt;L8,"OVER",IF(M8&gt;L8*0.9,"WARN","OK"))</f>
        <v>0</v>
      </c>
    </row>
    <row r="9" spans="2:14">
      <c r="B9" s="82" t="s">
        <v>95</v>
      </c>
      <c r="C9" s="82" t="s">
        <v>115</v>
      </c>
      <c r="D9" s="82" t="s">
        <v>116</v>
      </c>
      <c r="E9" s="82" t="s">
        <v>31</v>
      </c>
      <c r="F9" s="82" t="s">
        <v>117</v>
      </c>
      <c r="G9" s="82" t="s">
        <v>118</v>
      </c>
      <c r="H9" s="82" t="s">
        <v>119</v>
      </c>
      <c r="I9" s="82" t="s">
        <v>120</v>
      </c>
      <c r="K9" s="29" t="s">
        <v>39</v>
      </c>
      <c r="L9" s="11">
        <f>'Monthly Budget'!D6</f>
        <v>0</v>
      </c>
      <c r="M9" s="11">
        <f>SUMIF(E:E,K9,G:G)</f>
        <v>0</v>
      </c>
      <c r="N9" s="12">
        <f>IF(M9&gt;L9,"OVER",IF(M9&gt;L9*0.9,"WARN","OK"))</f>
        <v>0</v>
      </c>
    </row>
    <row r="10" spans="2:14">
      <c r="B10" s="12">
        <v>1</v>
      </c>
      <c r="C10" s="71">
        <v>46082</v>
      </c>
      <c r="D10" s="72" t="s">
        <v>124</v>
      </c>
      <c r="E10" s="70"/>
      <c r="F10" s="70"/>
      <c r="G10" s="20"/>
      <c r="H10" s="70"/>
      <c r="I10" s="11">
        <f>G10</f>
        <v>0</v>
      </c>
      <c r="K10" s="30" t="s">
        <v>40</v>
      </c>
      <c r="L10" s="11">
        <f>'Monthly Budget'!D7</f>
        <v>0</v>
      </c>
      <c r="M10" s="11">
        <f>SUMIF(E:E,K10,G:G)</f>
        <v>0</v>
      </c>
      <c r="N10" s="12">
        <f>IF(M10&gt;L10,"OVER",IF(M10&gt;L10*0.9,"WARN","OK"))</f>
        <v>0</v>
      </c>
    </row>
    <row r="11" spans="2:14">
      <c r="B11" s="12">
        <v>2</v>
      </c>
      <c r="C11" s="68">
        <v>46083</v>
      </c>
      <c r="D11" s="69" t="s">
        <v>125</v>
      </c>
      <c r="E11" s="70"/>
      <c r="F11" s="70"/>
      <c r="G11" s="20"/>
      <c r="H11" s="70"/>
      <c r="I11" s="11">
        <f>I10+G11</f>
        <v>0</v>
      </c>
      <c r="K11" s="31" t="s">
        <v>41</v>
      </c>
      <c r="L11" s="11">
        <f>'Monthly Budget'!D8</f>
        <v>0</v>
      </c>
      <c r="M11" s="11">
        <f>SUMIF(E:E,K11,G:G)</f>
        <v>0</v>
      </c>
      <c r="N11" s="12">
        <f>IF(M11&gt;L11,"OVER",IF(M11&gt;L11*0.9,"WARN","OK"))</f>
        <v>0</v>
      </c>
    </row>
    <row r="12" spans="2:14">
      <c r="B12" s="12">
        <v>3</v>
      </c>
      <c r="C12" s="68">
        <v>46084</v>
      </c>
      <c r="D12" s="69" t="s">
        <v>126</v>
      </c>
      <c r="E12" s="70"/>
      <c r="F12" s="70"/>
      <c r="G12" s="20"/>
      <c r="H12" s="70"/>
      <c r="I12" s="11">
        <f>I11+G12</f>
        <v>0</v>
      </c>
      <c r="K12" s="33" t="s">
        <v>42</v>
      </c>
      <c r="L12" s="11">
        <f>'Monthly Budget'!D9</f>
        <v>0</v>
      </c>
      <c r="M12" s="11">
        <f>SUMIF(E:E,K12,G:G)</f>
        <v>0</v>
      </c>
      <c r="N12" s="12">
        <f>IF(M12&gt;L12,"OVER",IF(M12&gt;L12*0.9,"WARN","OK"))</f>
        <v>0</v>
      </c>
    </row>
    <row r="13" spans="2:14">
      <c r="B13" s="12">
        <v>4</v>
      </c>
      <c r="C13" s="68">
        <v>46085</v>
      </c>
      <c r="D13" s="69" t="s">
        <v>127</v>
      </c>
      <c r="E13" s="70"/>
      <c r="F13" s="70"/>
      <c r="G13" s="20"/>
      <c r="H13" s="70"/>
      <c r="I13" s="11">
        <f>I12+G13</f>
        <v>0</v>
      </c>
      <c r="K13" s="38" t="s">
        <v>43</v>
      </c>
      <c r="L13" s="11">
        <f>'Monthly Budget'!D10</f>
        <v>0</v>
      </c>
      <c r="M13" s="11">
        <f>SUMIF(E:E,K13,G:G)</f>
        <v>0</v>
      </c>
      <c r="N13" s="12">
        <f>IF(M13&gt;L13,"OVER",IF(M13&gt;L13*0.9,"WARN","OK"))</f>
        <v>0</v>
      </c>
    </row>
    <row r="14" spans="2:14">
      <c r="B14" s="12">
        <v>5</v>
      </c>
      <c r="C14" s="68">
        <v>46086</v>
      </c>
      <c r="D14" s="69" t="s">
        <v>121</v>
      </c>
      <c r="E14" s="70"/>
      <c r="F14" s="70"/>
      <c r="G14" s="20"/>
      <c r="H14" s="70"/>
      <c r="I14" s="11">
        <f>I13+G14</f>
        <v>0</v>
      </c>
      <c r="K14" s="59" t="s">
        <v>83</v>
      </c>
      <c r="L14" s="11">
        <f>'Monthly Budget'!D11</f>
        <v>0</v>
      </c>
      <c r="M14" s="11">
        <f>SUMIF(E:E,K14,G:G)</f>
        <v>0</v>
      </c>
      <c r="N14" s="12">
        <f>IF(M14&gt;L14,"OVER",IF(M14&gt;L14*0.9,"WARN","OK"))</f>
        <v>0</v>
      </c>
    </row>
    <row r="15" spans="2:14">
      <c r="B15" s="12">
        <v>6</v>
      </c>
      <c r="C15" s="68">
        <v>46087</v>
      </c>
      <c r="D15" s="69" t="s">
        <v>122</v>
      </c>
      <c r="E15" s="70"/>
      <c r="F15" s="70"/>
      <c r="G15" s="20"/>
      <c r="H15" s="70"/>
      <c r="I15" s="11">
        <f>I14+G15</f>
        <v>0</v>
      </c>
      <c r="K15" s="60" t="s">
        <v>84</v>
      </c>
      <c r="L15" s="11">
        <f>'Monthly Budget'!D12</f>
        <v>0</v>
      </c>
      <c r="M15" s="11">
        <f>SUMIF(E:E,K15,G:G)</f>
        <v>0</v>
      </c>
      <c r="N15" s="12">
        <f>IF(M15&gt;L15,"OVER",IF(M15&gt;L15*0.9,"WARN","OK"))</f>
        <v>0</v>
      </c>
    </row>
    <row r="16" spans="2:14">
      <c r="B16" s="12">
        <v>7</v>
      </c>
      <c r="C16" s="71">
        <v>46088</v>
      </c>
      <c r="D16" s="72" t="s">
        <v>123</v>
      </c>
      <c r="E16" s="70"/>
      <c r="F16" s="70"/>
      <c r="G16" s="20"/>
      <c r="H16" s="70"/>
      <c r="I16" s="11">
        <f>I15+G16</f>
        <v>0</v>
      </c>
      <c r="K16" s="61" t="s">
        <v>85</v>
      </c>
      <c r="L16" s="11">
        <f>'Monthly Budget'!D13</f>
        <v>0</v>
      </c>
      <c r="M16" s="11">
        <f>SUMIF(E:E,K16,G:G)</f>
        <v>0</v>
      </c>
      <c r="N16" s="12">
        <f>IF(M16&gt;L16,"OVER",IF(M16&gt;L16*0.9,"WARN","OK"))</f>
        <v>0</v>
      </c>
    </row>
    <row r="17" spans="2:13">
      <c r="B17" s="12">
        <v>8</v>
      </c>
      <c r="C17" s="71">
        <v>46089</v>
      </c>
      <c r="D17" s="72" t="s">
        <v>124</v>
      </c>
      <c r="E17" s="70"/>
      <c r="F17" s="70"/>
      <c r="G17" s="20"/>
      <c r="H17" s="70"/>
      <c r="I17" s="11">
        <f>I16+G17</f>
        <v>0</v>
      </c>
      <c r="K17" s="52" t="s">
        <v>65</v>
      </c>
      <c r="L17" s="22">
        <f>SUM(L6:L16)</f>
        <v>0</v>
      </c>
      <c r="M17" s="22">
        <f>SUM(M6:M16)</f>
        <v>0</v>
      </c>
    </row>
    <row r="18" spans="2:13">
      <c r="B18" s="12">
        <v>9</v>
      </c>
      <c r="C18" s="68">
        <v>46090</v>
      </c>
      <c r="D18" s="69" t="s">
        <v>125</v>
      </c>
      <c r="E18" s="70"/>
      <c r="F18" s="70"/>
      <c r="G18" s="20"/>
      <c r="H18" s="70"/>
      <c r="I18" s="11">
        <f>I17+G18</f>
        <v>0</v>
      </c>
    </row>
    <row r="19" spans="2:13">
      <c r="B19" s="12">
        <v>10</v>
      </c>
      <c r="C19" s="68">
        <v>46091</v>
      </c>
      <c r="D19" s="69" t="s">
        <v>126</v>
      </c>
      <c r="E19" s="70"/>
      <c r="F19" s="70"/>
      <c r="G19" s="20"/>
      <c r="H19" s="70"/>
      <c r="I19" s="11">
        <f>I18+G19</f>
        <v>0</v>
      </c>
    </row>
    <row r="20" spans="2:13">
      <c r="B20" s="12">
        <v>11</v>
      </c>
      <c r="C20" s="68">
        <v>46092</v>
      </c>
      <c r="D20" s="69" t="s">
        <v>127</v>
      </c>
      <c r="E20" s="70"/>
      <c r="F20" s="70"/>
      <c r="G20" s="20"/>
      <c r="H20" s="70"/>
      <c r="I20" s="11">
        <f>I19+G20</f>
        <v>0</v>
      </c>
    </row>
    <row r="21" spans="2:13">
      <c r="B21" s="12">
        <v>12</v>
      </c>
      <c r="C21" s="68">
        <v>46093</v>
      </c>
      <c r="D21" s="69" t="s">
        <v>121</v>
      </c>
      <c r="E21" s="70"/>
      <c r="F21" s="70"/>
      <c r="G21" s="20"/>
      <c r="H21" s="70"/>
      <c r="I21" s="11">
        <f>I20+G21</f>
        <v>0</v>
      </c>
    </row>
    <row r="22" spans="2:13">
      <c r="B22" s="12">
        <v>13</v>
      </c>
      <c r="C22" s="68">
        <v>46094</v>
      </c>
      <c r="D22" s="69" t="s">
        <v>122</v>
      </c>
      <c r="E22" s="70"/>
      <c r="F22" s="70"/>
      <c r="G22" s="20"/>
      <c r="H22" s="70"/>
      <c r="I22" s="11">
        <f>I21+G22</f>
        <v>0</v>
      </c>
    </row>
    <row r="23" spans="2:13">
      <c r="B23" s="12">
        <v>14</v>
      </c>
      <c r="C23" s="71">
        <v>46095</v>
      </c>
      <c r="D23" s="72" t="s">
        <v>123</v>
      </c>
      <c r="E23" s="70"/>
      <c r="F23" s="70"/>
      <c r="G23" s="20"/>
      <c r="H23" s="70"/>
      <c r="I23" s="11">
        <f>I22+G23</f>
        <v>0</v>
      </c>
    </row>
    <row r="24" spans="2:13">
      <c r="B24" s="12">
        <v>15</v>
      </c>
      <c r="C24" s="71">
        <v>46096</v>
      </c>
      <c r="D24" s="72" t="s">
        <v>124</v>
      </c>
      <c r="E24" s="70"/>
      <c r="F24" s="70"/>
      <c r="G24" s="20"/>
      <c r="H24" s="70"/>
      <c r="I24" s="11">
        <f>I23+G24</f>
        <v>0</v>
      </c>
    </row>
    <row r="25" spans="2:13">
      <c r="B25" s="12">
        <v>16</v>
      </c>
      <c r="C25" s="68">
        <v>46097</v>
      </c>
      <c r="D25" s="69" t="s">
        <v>125</v>
      </c>
      <c r="E25" s="70"/>
      <c r="F25" s="70"/>
      <c r="G25" s="20"/>
      <c r="H25" s="70"/>
      <c r="I25" s="11">
        <f>I24+G25</f>
        <v>0</v>
      </c>
    </row>
    <row r="26" spans="2:13">
      <c r="B26" s="12">
        <v>17</v>
      </c>
      <c r="C26" s="68">
        <v>46098</v>
      </c>
      <c r="D26" s="69" t="s">
        <v>126</v>
      </c>
      <c r="E26" s="70"/>
      <c r="F26" s="70"/>
      <c r="G26" s="20"/>
      <c r="H26" s="70"/>
      <c r="I26" s="11">
        <f>I25+G26</f>
        <v>0</v>
      </c>
    </row>
    <row r="27" spans="2:13">
      <c r="B27" s="12">
        <v>18</v>
      </c>
      <c r="C27" s="68">
        <v>46099</v>
      </c>
      <c r="D27" s="69" t="s">
        <v>127</v>
      </c>
      <c r="E27" s="70"/>
      <c r="F27" s="70"/>
      <c r="G27" s="20"/>
      <c r="H27" s="70"/>
      <c r="I27" s="11">
        <f>I26+G27</f>
        <v>0</v>
      </c>
    </row>
    <row r="28" spans="2:13">
      <c r="B28" s="12">
        <v>19</v>
      </c>
      <c r="C28" s="68">
        <v>46100</v>
      </c>
      <c r="D28" s="69" t="s">
        <v>121</v>
      </c>
      <c r="E28" s="70"/>
      <c r="F28" s="70"/>
      <c r="G28" s="20"/>
      <c r="H28" s="70"/>
      <c r="I28" s="11">
        <f>I27+G28</f>
        <v>0</v>
      </c>
    </row>
    <row r="29" spans="2:13">
      <c r="B29" s="12">
        <v>20</v>
      </c>
      <c r="C29" s="68">
        <v>46101</v>
      </c>
      <c r="D29" s="69" t="s">
        <v>122</v>
      </c>
      <c r="E29" s="70"/>
      <c r="F29" s="70"/>
      <c r="G29" s="20"/>
      <c r="H29" s="70"/>
      <c r="I29" s="11">
        <f>I28+G29</f>
        <v>0</v>
      </c>
    </row>
    <row r="30" spans="2:13">
      <c r="B30" s="12">
        <v>21</v>
      </c>
      <c r="C30" s="71">
        <v>46102</v>
      </c>
      <c r="D30" s="72" t="s">
        <v>123</v>
      </c>
      <c r="E30" s="70"/>
      <c r="F30" s="70"/>
      <c r="G30" s="20"/>
      <c r="H30" s="70"/>
      <c r="I30" s="11">
        <f>I29+G30</f>
        <v>0</v>
      </c>
    </row>
    <row r="31" spans="2:13">
      <c r="B31" s="12">
        <v>22</v>
      </c>
      <c r="C31" s="71">
        <v>46103</v>
      </c>
      <c r="D31" s="72" t="s">
        <v>124</v>
      </c>
      <c r="E31" s="70"/>
      <c r="F31" s="70"/>
      <c r="G31" s="20"/>
      <c r="H31" s="70"/>
      <c r="I31" s="11">
        <f>I30+G31</f>
        <v>0</v>
      </c>
    </row>
    <row r="32" spans="2:13">
      <c r="B32" s="12">
        <v>23</v>
      </c>
      <c r="C32" s="68">
        <v>46104</v>
      </c>
      <c r="D32" s="69" t="s">
        <v>125</v>
      </c>
      <c r="E32" s="70"/>
      <c r="F32" s="70"/>
      <c r="G32" s="20"/>
      <c r="H32" s="70"/>
      <c r="I32" s="11">
        <f>I31+G32</f>
        <v>0</v>
      </c>
    </row>
    <row r="33" spans="2:9">
      <c r="B33" s="12">
        <v>24</v>
      </c>
      <c r="C33" s="68">
        <v>46105</v>
      </c>
      <c r="D33" s="69" t="s">
        <v>126</v>
      </c>
      <c r="E33" s="70"/>
      <c r="F33" s="70"/>
      <c r="G33" s="20"/>
      <c r="H33" s="70"/>
      <c r="I33" s="11">
        <f>I32+G33</f>
        <v>0</v>
      </c>
    </row>
    <row r="34" spans="2:9">
      <c r="B34" s="12">
        <v>25</v>
      </c>
      <c r="C34" s="68">
        <v>46106</v>
      </c>
      <c r="D34" s="69" t="s">
        <v>127</v>
      </c>
      <c r="E34" s="70"/>
      <c r="F34" s="70"/>
      <c r="G34" s="20"/>
      <c r="H34" s="70"/>
      <c r="I34" s="11">
        <f>I33+G34</f>
        <v>0</v>
      </c>
    </row>
    <row r="35" spans="2:9">
      <c r="B35" s="12">
        <v>26</v>
      </c>
      <c r="C35" s="68">
        <v>46107</v>
      </c>
      <c r="D35" s="69" t="s">
        <v>121</v>
      </c>
      <c r="E35" s="70"/>
      <c r="F35" s="70"/>
      <c r="G35" s="20"/>
      <c r="H35" s="70"/>
      <c r="I35" s="11">
        <f>I34+G35</f>
        <v>0</v>
      </c>
    </row>
    <row r="36" spans="2:9">
      <c r="B36" s="12">
        <v>27</v>
      </c>
      <c r="C36" s="68">
        <v>46108</v>
      </c>
      <c r="D36" s="69" t="s">
        <v>122</v>
      </c>
      <c r="E36" s="70"/>
      <c r="F36" s="70"/>
      <c r="G36" s="20"/>
      <c r="H36" s="70"/>
      <c r="I36" s="11">
        <f>I35+G36</f>
        <v>0</v>
      </c>
    </row>
    <row r="37" spans="2:9">
      <c r="B37" s="12">
        <v>28</v>
      </c>
      <c r="C37" s="71">
        <v>46109</v>
      </c>
      <c r="D37" s="72" t="s">
        <v>123</v>
      </c>
      <c r="E37" s="70"/>
      <c r="F37" s="70"/>
      <c r="G37" s="20"/>
      <c r="H37" s="70"/>
      <c r="I37" s="11">
        <f>I36+G37</f>
        <v>0</v>
      </c>
    </row>
    <row r="38" spans="2:9">
      <c r="B38" s="12">
        <v>29</v>
      </c>
      <c r="C38" s="71">
        <v>46110</v>
      </c>
      <c r="D38" s="72" t="s">
        <v>124</v>
      </c>
      <c r="E38" s="70"/>
      <c r="F38" s="70"/>
      <c r="G38" s="20"/>
      <c r="H38" s="70"/>
      <c r="I38" s="11">
        <f>I37+G38</f>
        <v>0</v>
      </c>
    </row>
    <row r="39" spans="2:9">
      <c r="B39" s="12">
        <v>30</v>
      </c>
      <c r="C39" s="68">
        <v>46111</v>
      </c>
      <c r="D39" s="69" t="s">
        <v>125</v>
      </c>
      <c r="E39" s="70"/>
      <c r="F39" s="70"/>
      <c r="G39" s="20"/>
      <c r="H39" s="70"/>
      <c r="I39" s="11">
        <f>I38+G39</f>
        <v>0</v>
      </c>
    </row>
    <row r="40" spans="2:9">
      <c r="B40" s="12">
        <v>31</v>
      </c>
      <c r="C40" s="68">
        <v>46112</v>
      </c>
      <c r="D40" s="69" t="s">
        <v>126</v>
      </c>
      <c r="E40" s="70"/>
      <c r="F40" s="70"/>
      <c r="G40" s="20"/>
      <c r="H40" s="70"/>
      <c r="I40" s="11">
        <f>I39+G40</f>
        <v>0</v>
      </c>
    </row>
    <row r="41" spans="2:9">
      <c r="F41" s="83" t="s">
        <v>128</v>
      </c>
      <c r="G41" s="84">
        <f>SUM(G10:G40)</f>
        <v>0</v>
      </c>
    </row>
  </sheetData>
  <mergeCells count="5">
    <mergeCell ref="B1:I1"/>
    <mergeCell ref="B2:I2"/>
    <mergeCell ref="B4:D4"/>
    <mergeCell ref="F4:I4"/>
    <mergeCell ref="K4:N4"/>
  </mergeCells>
  <conditionalFormatting sqref="E10:E40">
    <cfRule type="containsText" dxfId="3" priority="1" operator="containsText" text="Rent + Utilities">
      <formula>NOT(ISERROR(SEARCH("Rent + Utilities",E10)))</formula>
    </cfRule>
    <cfRule type="containsText" dxfId="4" priority="2" operator="containsText" text="Electricity Deposit">
      <formula>NOT(ISERROR(SEARCH("Electricity Deposit",E10)))</formula>
    </cfRule>
    <cfRule type="containsText" dxfId="5" priority="3" operator="containsText" text="Internet &amp; Phone Bills">
      <formula>NOT(ISERROR(SEARCH("Internet &amp; Phone Bills",E10)))</formula>
    </cfRule>
    <cfRule type="containsText" dxfId="6" priority="4" operator="containsText" text="Food &amp; Groceries">
      <formula>NOT(ISERROR(SEARCH("Food &amp; Groceries",E10)))</formula>
    </cfRule>
    <cfRule type="containsText" dxfId="7" priority="5" operator="containsText" text="Investments">
      <formula>NOT(ISERROR(SEARCH("Investments",E10)))</formula>
    </cfRule>
    <cfRule type="containsText" dxfId="8" priority="6" operator="containsText" text="Date Nights">
      <formula>NOT(ISERROR(SEARCH("Date Nights",E10)))</formula>
    </cfRule>
    <cfRule type="containsText" dxfId="9" priority="7" operator="containsText" text="Annual Costs Savings">
      <formula>NOT(ISERROR(SEARCH("Annual Costs Savings",E10)))</formula>
    </cfRule>
    <cfRule type="containsText" dxfId="10" priority="8" operator="containsText" text="Emergency Buffer">
      <formula>NOT(ISERROR(SEARCH("Emergency Buffer",E10)))</formula>
    </cfRule>
    <cfRule type="containsText" dxfId="11" priority="9" operator="containsText" text="Personal Care">
      <formula>NOT(ISERROR(SEARCH("Personal Care",E10)))</formula>
    </cfRule>
    <cfRule type="containsText" dxfId="12" priority="10" operator="containsText" text="Personal Savings">
      <formula>NOT(ISERROR(SEARCH("Personal Savings",E10)))</formula>
    </cfRule>
    <cfRule type="containsText" dxfId="13" priority="11" operator="containsText" text="Miscellaneous">
      <formula>NOT(ISERROR(SEARCH("Miscellaneous",E10)))</formula>
    </cfRule>
  </conditionalFormatting>
  <conditionalFormatting sqref="N10">
    <cfRule type="containsText" dxfId="0" priority="24" operator="containsText" text="OVER">
      <formula>NOT(ISERROR(SEARCH("OVER",N10)))</formula>
    </cfRule>
    <cfRule type="containsText" dxfId="1" priority="25" operator="containsText" text="WARN">
      <formula>NOT(ISERROR(SEARCH("WARN",N10)))</formula>
    </cfRule>
    <cfRule type="containsText" dxfId="2" priority="26" operator="containsText" text="OK">
      <formula>NOT(ISERROR(SEARCH("OK",N10)))</formula>
    </cfRule>
  </conditionalFormatting>
  <conditionalFormatting sqref="N11">
    <cfRule type="containsText" dxfId="0" priority="27" operator="containsText" text="OVER">
      <formula>NOT(ISERROR(SEARCH("OVER",N11)))</formula>
    </cfRule>
    <cfRule type="containsText" dxfId="1" priority="28" operator="containsText" text="WARN">
      <formula>NOT(ISERROR(SEARCH("WARN",N11)))</formula>
    </cfRule>
    <cfRule type="containsText" dxfId="2" priority="29" operator="containsText" text="OK">
      <formula>NOT(ISERROR(SEARCH("OK",N11)))</formula>
    </cfRule>
  </conditionalFormatting>
  <conditionalFormatting sqref="N12">
    <cfRule type="containsText" dxfId="0" priority="30" operator="containsText" text="OVER">
      <formula>NOT(ISERROR(SEARCH("OVER",N12)))</formula>
    </cfRule>
    <cfRule type="containsText" dxfId="1" priority="31" operator="containsText" text="WARN">
      <formula>NOT(ISERROR(SEARCH("WARN",N12)))</formula>
    </cfRule>
    <cfRule type="containsText" dxfId="2" priority="32" operator="containsText" text="OK">
      <formula>NOT(ISERROR(SEARCH("OK",N12)))</formula>
    </cfRule>
  </conditionalFormatting>
  <conditionalFormatting sqref="N13">
    <cfRule type="containsText" dxfId="0" priority="33" operator="containsText" text="OVER">
      <formula>NOT(ISERROR(SEARCH("OVER",N13)))</formula>
    </cfRule>
    <cfRule type="containsText" dxfId="1" priority="34" operator="containsText" text="WARN">
      <formula>NOT(ISERROR(SEARCH("WARN",N13)))</formula>
    </cfRule>
    <cfRule type="containsText" dxfId="2" priority="35" operator="containsText" text="OK">
      <formula>NOT(ISERROR(SEARCH("OK",N13)))</formula>
    </cfRule>
  </conditionalFormatting>
  <conditionalFormatting sqref="N14">
    <cfRule type="containsText" dxfId="0" priority="36" operator="containsText" text="OVER">
      <formula>NOT(ISERROR(SEARCH("OVER",N14)))</formula>
    </cfRule>
    <cfRule type="containsText" dxfId="1" priority="37" operator="containsText" text="WARN">
      <formula>NOT(ISERROR(SEARCH("WARN",N14)))</formula>
    </cfRule>
    <cfRule type="containsText" dxfId="2" priority="38" operator="containsText" text="OK">
      <formula>NOT(ISERROR(SEARCH("OK",N14)))</formula>
    </cfRule>
  </conditionalFormatting>
  <conditionalFormatting sqref="N15">
    <cfRule type="containsText" dxfId="0" priority="39" operator="containsText" text="OVER">
      <formula>NOT(ISERROR(SEARCH("OVER",N15)))</formula>
    </cfRule>
    <cfRule type="containsText" dxfId="1" priority="40" operator="containsText" text="WARN">
      <formula>NOT(ISERROR(SEARCH("WARN",N15)))</formula>
    </cfRule>
    <cfRule type="containsText" dxfId="2" priority="41" operator="containsText" text="OK">
      <formula>NOT(ISERROR(SEARCH("OK",N15)))</formula>
    </cfRule>
  </conditionalFormatting>
  <conditionalFormatting sqref="N16">
    <cfRule type="containsText" dxfId="0" priority="42" operator="containsText" text="OVER">
      <formula>NOT(ISERROR(SEARCH("OVER",N16)))</formula>
    </cfRule>
    <cfRule type="containsText" dxfId="1" priority="43" operator="containsText" text="WARN">
      <formula>NOT(ISERROR(SEARCH("WARN",N16)))</formula>
    </cfRule>
    <cfRule type="containsText" dxfId="2" priority="44" operator="containsText" text="OK">
      <formula>NOT(ISERROR(SEARCH("OK",N16)))</formula>
    </cfRule>
  </conditionalFormatting>
  <conditionalFormatting sqref="N6">
    <cfRule type="containsText" dxfId="0" priority="12" operator="containsText" text="OVER">
      <formula>NOT(ISERROR(SEARCH("OVER",N6)))</formula>
    </cfRule>
    <cfRule type="containsText" dxfId="1" priority="13" operator="containsText" text="WARN">
      <formula>NOT(ISERROR(SEARCH("WARN",N6)))</formula>
    </cfRule>
    <cfRule type="containsText" dxfId="2" priority="14" operator="containsText" text="OK">
      <formula>NOT(ISERROR(SEARCH("OK",N6)))</formula>
    </cfRule>
  </conditionalFormatting>
  <conditionalFormatting sqref="N7">
    <cfRule type="containsText" dxfId="0" priority="15" operator="containsText" text="OVER">
      <formula>NOT(ISERROR(SEARCH("OVER",N7)))</formula>
    </cfRule>
    <cfRule type="containsText" dxfId="1" priority="16" operator="containsText" text="WARN">
      <formula>NOT(ISERROR(SEARCH("WARN",N7)))</formula>
    </cfRule>
    <cfRule type="containsText" dxfId="2" priority="17" operator="containsText" text="OK">
      <formula>NOT(ISERROR(SEARCH("OK",N7)))</formula>
    </cfRule>
  </conditionalFormatting>
  <conditionalFormatting sqref="N8">
    <cfRule type="containsText" dxfId="0" priority="18" operator="containsText" text="OVER">
      <formula>NOT(ISERROR(SEARCH("OVER",N8)))</formula>
    </cfRule>
    <cfRule type="containsText" dxfId="1" priority="19" operator="containsText" text="WARN">
      <formula>NOT(ISERROR(SEARCH("WARN",N8)))</formula>
    </cfRule>
    <cfRule type="containsText" dxfId="2" priority="20" operator="containsText" text="OK">
      <formula>NOT(ISERROR(SEARCH("OK",N8)))</formula>
    </cfRule>
  </conditionalFormatting>
  <conditionalFormatting sqref="N9">
    <cfRule type="containsText" dxfId="0" priority="21" operator="containsText" text="OVER">
      <formula>NOT(ISERROR(SEARCH("OVER",N9)))</formula>
    </cfRule>
    <cfRule type="containsText" dxfId="1" priority="22" operator="containsText" text="WARN">
      <formula>NOT(ISERROR(SEARCH("WARN",N9)))</formula>
    </cfRule>
    <cfRule type="containsText" dxfId="2" priority="23" operator="containsText" text="OK">
      <formula>NOT(ISERROR(SEARCH("OK",N9)))</formula>
    </cfRule>
  </conditionalFormatting>
  <dataValidations count="63">
    <dataValidation type="list" allowBlank="1" showInputMessage="1" showErrorMessage="1" sqref="I6">
      <formula1>"CZK,USD,EUR,NGN"</formula1>
    </dataValidation>
    <dataValidation type="list" allowBlank="1" showInputMessage="1" showErrorMessage="1" sqref="E1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0">
      <formula1>"Cash,Card,Transfer,Online"</formula1>
    </dataValidation>
    <dataValidation type="list" allowBlank="1" showInputMessage="1" showErrorMessage="1" sqref="E1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1">
      <formula1>"Cash,Card,Transfer,Online"</formula1>
    </dataValidation>
    <dataValidation type="list" allowBlank="1" showInputMessage="1" showErrorMessage="1" sqref="E1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2">
      <formula1>"Cash,Card,Transfer,Online"</formula1>
    </dataValidation>
    <dataValidation type="list" allowBlank="1" showInputMessage="1" showErrorMessage="1" sqref="E1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3">
      <formula1>"Cash,Card,Transfer,Online"</formula1>
    </dataValidation>
    <dataValidation type="list" allowBlank="1" showInputMessage="1" showErrorMessage="1" sqref="E1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4">
      <formula1>"Cash,Card,Transfer,Online"</formula1>
    </dataValidation>
    <dataValidation type="list" allowBlank="1" showInputMessage="1" showErrorMessage="1" sqref="E1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5">
      <formula1>"Cash,Card,Transfer,Online"</formula1>
    </dataValidation>
    <dataValidation type="list" allowBlank="1" showInputMessage="1" showErrorMessage="1" sqref="E1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6">
      <formula1>"Cash,Card,Transfer,Online"</formula1>
    </dataValidation>
    <dataValidation type="list" allowBlank="1" showInputMessage="1" showErrorMessage="1" sqref="E1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7">
      <formula1>"Cash,Card,Transfer,Online"</formula1>
    </dataValidation>
    <dataValidation type="list" allowBlank="1" showInputMessage="1" showErrorMessage="1" sqref="E1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8">
      <formula1>"Cash,Card,Transfer,Online"</formula1>
    </dataValidation>
    <dataValidation type="list" allowBlank="1" showInputMessage="1" showErrorMessage="1" sqref="E1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9">
      <formula1>"Cash,Card,Transfer,Online"</formula1>
    </dataValidation>
    <dataValidation type="list" allowBlank="1" showInputMessage="1" showErrorMessage="1" sqref="E2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0">
      <formula1>"Cash,Card,Transfer,Online"</formula1>
    </dataValidation>
    <dataValidation type="list" allowBlank="1" showInputMessage="1" showErrorMessage="1" sqref="E2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1">
      <formula1>"Cash,Card,Transfer,Online"</formula1>
    </dataValidation>
    <dataValidation type="list" allowBlank="1" showInputMessage="1" showErrorMessage="1" sqref="E2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2">
      <formula1>"Cash,Card,Transfer,Online"</formula1>
    </dataValidation>
    <dataValidation type="list" allowBlank="1" showInputMessage="1" showErrorMessage="1" sqref="E2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3">
      <formula1>"Cash,Card,Transfer,Online"</formula1>
    </dataValidation>
    <dataValidation type="list" allowBlank="1" showInputMessage="1" showErrorMessage="1" sqref="E2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4">
      <formula1>"Cash,Card,Transfer,Online"</formula1>
    </dataValidation>
    <dataValidation type="list" allowBlank="1" showInputMessage="1" showErrorMessage="1" sqref="E2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5">
      <formula1>"Cash,Card,Transfer,Online"</formula1>
    </dataValidation>
    <dataValidation type="list" allowBlank="1" showInputMessage="1" showErrorMessage="1" sqref="E2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6">
      <formula1>"Cash,Card,Transfer,Online"</formula1>
    </dataValidation>
    <dataValidation type="list" allowBlank="1" showInputMessage="1" showErrorMessage="1" sqref="E2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7">
      <formula1>"Cash,Card,Transfer,Online"</formula1>
    </dataValidation>
    <dataValidation type="list" allowBlank="1" showInputMessage="1" showErrorMessage="1" sqref="E2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8">
      <formula1>"Cash,Card,Transfer,Online"</formula1>
    </dataValidation>
    <dataValidation type="list" allowBlank="1" showInputMessage="1" showErrorMessage="1" sqref="E2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9">
      <formula1>"Cash,Card,Transfer,Online"</formula1>
    </dataValidation>
    <dataValidation type="list" allowBlank="1" showInputMessage="1" showErrorMessage="1" sqref="E3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0">
      <formula1>"Cash,Card,Transfer,Online"</formula1>
    </dataValidation>
    <dataValidation type="list" allowBlank="1" showInputMessage="1" showErrorMessage="1" sqref="E3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1">
      <formula1>"Cash,Card,Transfer,Online"</formula1>
    </dataValidation>
    <dataValidation type="list" allowBlank="1" showInputMessage="1" showErrorMessage="1" sqref="E3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2">
      <formula1>"Cash,Card,Transfer,Online"</formula1>
    </dataValidation>
    <dataValidation type="list" allowBlank="1" showInputMessage="1" showErrorMessage="1" sqref="E3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3">
      <formula1>"Cash,Card,Transfer,Online"</formula1>
    </dataValidation>
    <dataValidation type="list" allowBlank="1" showInputMessage="1" showErrorMessage="1" sqref="E3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4">
      <formula1>"Cash,Card,Transfer,Online"</formula1>
    </dataValidation>
    <dataValidation type="list" allowBlank="1" showInputMessage="1" showErrorMessage="1" sqref="E3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5">
      <formula1>"Cash,Card,Transfer,Online"</formula1>
    </dataValidation>
    <dataValidation type="list" allowBlank="1" showInputMessage="1" showErrorMessage="1" sqref="E3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6">
      <formula1>"Cash,Card,Transfer,Online"</formula1>
    </dataValidation>
    <dataValidation type="list" allowBlank="1" showInputMessage="1" showErrorMessage="1" sqref="E3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7">
      <formula1>"Cash,Card,Transfer,Online"</formula1>
    </dataValidation>
    <dataValidation type="list" allowBlank="1" showInputMessage="1" showErrorMessage="1" sqref="E3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8">
      <formula1>"Cash,Card,Transfer,Online"</formula1>
    </dataValidation>
    <dataValidation type="list" allowBlank="1" showInputMessage="1" showErrorMessage="1" sqref="E3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9">
      <formula1>"Cash,Card,Transfer,Online"</formula1>
    </dataValidation>
    <dataValidation type="list" allowBlank="1" showInputMessage="1" showErrorMessage="1" sqref="E4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40">
      <formula1>"Cash,Card,Transfer,Online"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39C12"/>
  </sheetPr>
  <dimension ref="B1:N40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/>
  <cols>
    <col min="1" max="1" width="5.7109375" customWidth="1"/>
    <col min="2" max="2" width="6.7109375" customWidth="1"/>
    <col min="3" max="3" width="14.7109375" customWidth="1"/>
    <col min="4" max="4" width="12.7109375" customWidth="1"/>
    <col min="5" max="5" width="28.7109375" customWidth="1"/>
    <col min="6" max="6" width="38.7109375" customWidth="1"/>
    <col min="7" max="7" width="20.7109375" customWidth="1"/>
    <col min="8" max="8" width="16.7109375" customWidth="1"/>
    <col min="9" max="9" width="20.7109375" customWidth="1"/>
    <col min="11" max="11" width="28.7109375" customWidth="1"/>
    <col min="12" max="13" width="18.7109375" customWidth="1"/>
    <col min="14" max="14" width="14.7109375" customWidth="1"/>
  </cols>
  <sheetData>
    <row r="1" spans="2:14" ht="45" customHeight="1">
      <c r="B1" s="85" t="s">
        <v>136</v>
      </c>
      <c r="C1" s="85"/>
      <c r="D1" s="85"/>
      <c r="E1" s="85"/>
      <c r="F1" s="85"/>
      <c r="G1" s="85"/>
      <c r="H1" s="85"/>
      <c r="I1" s="85"/>
    </row>
    <row r="2" spans="2:14">
      <c r="B2" s="86" t="s">
        <v>137</v>
      </c>
      <c r="C2" s="86"/>
      <c r="D2" s="86"/>
      <c r="E2" s="86"/>
      <c r="F2" s="86"/>
      <c r="G2" s="86"/>
      <c r="H2" s="86"/>
      <c r="I2" s="86"/>
    </row>
    <row r="4" spans="2:14">
      <c r="B4" s="87" t="s">
        <v>108</v>
      </c>
      <c r="C4" s="87"/>
      <c r="D4" s="87"/>
      <c r="F4" s="87" t="s">
        <v>112</v>
      </c>
      <c r="G4" s="87"/>
      <c r="H4" s="87"/>
      <c r="I4" s="87"/>
      <c r="K4" s="87" t="s">
        <v>138</v>
      </c>
      <c r="L4" s="87"/>
      <c r="M4" s="87"/>
      <c r="N4" s="87"/>
    </row>
    <row r="5" spans="2:14">
      <c r="B5" s="1" t="s">
        <v>109</v>
      </c>
      <c r="C5" s="20">
        <v>0</v>
      </c>
      <c r="F5" s="1" t="s">
        <v>113</v>
      </c>
      <c r="G5" s="11">
        <v>60000</v>
      </c>
      <c r="H5" s="1" t="s">
        <v>114</v>
      </c>
      <c r="I5" s="66">
        <f>Dashboard!$N$2</f>
        <v>0</v>
      </c>
      <c r="K5" s="9" t="s">
        <v>31</v>
      </c>
      <c r="L5" s="9" t="s">
        <v>32</v>
      </c>
      <c r="M5" s="9" t="s">
        <v>33</v>
      </c>
      <c r="N5" s="9" t="s">
        <v>34</v>
      </c>
    </row>
    <row r="6" spans="2:14">
      <c r="B6" s="1" t="s">
        <v>110</v>
      </c>
      <c r="C6" s="20">
        <v>0</v>
      </c>
      <c r="F6" s="1" t="s">
        <v>92</v>
      </c>
      <c r="G6" s="20">
        <v>0</v>
      </c>
      <c r="H6" s="1" t="s">
        <v>114</v>
      </c>
      <c r="I6" s="67" t="s">
        <v>5</v>
      </c>
      <c r="K6" s="24" t="s">
        <v>36</v>
      </c>
      <c r="L6" s="11">
        <f>'Monthly Budget'!D3</f>
        <v>0</v>
      </c>
      <c r="M6" s="11">
        <f>SUMIF(E:E,K6,G:G)</f>
        <v>0</v>
      </c>
      <c r="N6" s="12">
        <f>IF(M6&gt;L6,"OVER",IF(M6&gt;L6*0.9,"WARN","OK"))</f>
        <v>0</v>
      </c>
    </row>
    <row r="7" spans="2:14">
      <c r="B7" s="1" t="s">
        <v>111</v>
      </c>
      <c r="C7" s="22">
        <f>C6-C5</f>
        <v>0</v>
      </c>
      <c r="F7" s="1" t="s">
        <v>93</v>
      </c>
      <c r="G7" s="22">
        <f>G5+G6</f>
        <v>0</v>
      </c>
      <c r="K7" s="25" t="s">
        <v>37</v>
      </c>
      <c r="L7" s="11">
        <f>'Monthly Budget'!D4</f>
        <v>0</v>
      </c>
      <c r="M7" s="11">
        <f>SUMIF(E:E,K7,G:G)</f>
        <v>0</v>
      </c>
      <c r="N7" s="12">
        <f>IF(M7&gt;L7,"OVER",IF(M7&gt;L7*0.9,"WARN","OK"))</f>
        <v>0</v>
      </c>
    </row>
    <row r="8" spans="2:14">
      <c r="K8" s="27" t="s">
        <v>38</v>
      </c>
      <c r="L8" s="11">
        <f>'Monthly Budget'!D5</f>
        <v>0</v>
      </c>
      <c r="M8" s="11">
        <f>SUMIF(E:E,K8,G:G)</f>
        <v>0</v>
      </c>
      <c r="N8" s="12">
        <f>IF(M8&gt;L8,"OVER",IF(M8&gt;L8*0.9,"WARN","OK"))</f>
        <v>0</v>
      </c>
    </row>
    <row r="9" spans="2:14">
      <c r="B9" s="87" t="s">
        <v>95</v>
      </c>
      <c r="C9" s="87" t="s">
        <v>115</v>
      </c>
      <c r="D9" s="87" t="s">
        <v>116</v>
      </c>
      <c r="E9" s="87" t="s">
        <v>31</v>
      </c>
      <c r="F9" s="87" t="s">
        <v>117</v>
      </c>
      <c r="G9" s="87" t="s">
        <v>118</v>
      </c>
      <c r="H9" s="87" t="s">
        <v>119</v>
      </c>
      <c r="I9" s="87" t="s">
        <v>120</v>
      </c>
      <c r="K9" s="29" t="s">
        <v>39</v>
      </c>
      <c r="L9" s="11">
        <f>'Monthly Budget'!D6</f>
        <v>0</v>
      </c>
      <c r="M9" s="11">
        <f>SUMIF(E:E,K9,G:G)</f>
        <v>0</v>
      </c>
      <c r="N9" s="12">
        <f>IF(M9&gt;L9,"OVER",IF(M9&gt;L9*0.9,"WARN","OK"))</f>
        <v>0</v>
      </c>
    </row>
    <row r="10" spans="2:14">
      <c r="B10" s="12">
        <v>1</v>
      </c>
      <c r="C10" s="68">
        <v>46113</v>
      </c>
      <c r="D10" s="69" t="s">
        <v>127</v>
      </c>
      <c r="E10" s="70"/>
      <c r="F10" s="70"/>
      <c r="G10" s="20"/>
      <c r="H10" s="70"/>
      <c r="I10" s="11">
        <f>G10</f>
        <v>0</v>
      </c>
      <c r="K10" s="30" t="s">
        <v>40</v>
      </c>
      <c r="L10" s="11">
        <f>'Monthly Budget'!D7</f>
        <v>0</v>
      </c>
      <c r="M10" s="11">
        <f>SUMIF(E:E,K10,G:G)</f>
        <v>0</v>
      </c>
      <c r="N10" s="12">
        <f>IF(M10&gt;L10,"OVER",IF(M10&gt;L10*0.9,"WARN","OK"))</f>
        <v>0</v>
      </c>
    </row>
    <row r="11" spans="2:14">
      <c r="B11" s="12">
        <v>2</v>
      </c>
      <c r="C11" s="68">
        <v>46114</v>
      </c>
      <c r="D11" s="69" t="s">
        <v>121</v>
      </c>
      <c r="E11" s="70"/>
      <c r="F11" s="70"/>
      <c r="G11" s="20"/>
      <c r="H11" s="70"/>
      <c r="I11" s="11">
        <f>I10+G11</f>
        <v>0</v>
      </c>
      <c r="K11" s="31" t="s">
        <v>41</v>
      </c>
      <c r="L11" s="11">
        <f>'Monthly Budget'!D8</f>
        <v>0</v>
      </c>
      <c r="M11" s="11">
        <f>SUMIF(E:E,K11,G:G)</f>
        <v>0</v>
      </c>
      <c r="N11" s="12">
        <f>IF(M11&gt;L11,"OVER",IF(M11&gt;L11*0.9,"WARN","OK"))</f>
        <v>0</v>
      </c>
    </row>
    <row r="12" spans="2:14">
      <c r="B12" s="12">
        <v>3</v>
      </c>
      <c r="C12" s="68">
        <v>46115</v>
      </c>
      <c r="D12" s="69" t="s">
        <v>122</v>
      </c>
      <c r="E12" s="70"/>
      <c r="F12" s="70"/>
      <c r="G12" s="20"/>
      <c r="H12" s="70"/>
      <c r="I12" s="11">
        <f>I11+G12</f>
        <v>0</v>
      </c>
      <c r="K12" s="33" t="s">
        <v>42</v>
      </c>
      <c r="L12" s="11">
        <f>'Monthly Budget'!D9</f>
        <v>0</v>
      </c>
      <c r="M12" s="11">
        <f>SUMIF(E:E,K12,G:G)</f>
        <v>0</v>
      </c>
      <c r="N12" s="12">
        <f>IF(M12&gt;L12,"OVER",IF(M12&gt;L12*0.9,"WARN","OK"))</f>
        <v>0</v>
      </c>
    </row>
    <row r="13" spans="2:14">
      <c r="B13" s="12">
        <v>4</v>
      </c>
      <c r="C13" s="71">
        <v>46116</v>
      </c>
      <c r="D13" s="72" t="s">
        <v>123</v>
      </c>
      <c r="E13" s="70"/>
      <c r="F13" s="70"/>
      <c r="G13" s="20"/>
      <c r="H13" s="70"/>
      <c r="I13" s="11">
        <f>I12+G13</f>
        <v>0</v>
      </c>
      <c r="K13" s="38" t="s">
        <v>43</v>
      </c>
      <c r="L13" s="11">
        <f>'Monthly Budget'!D10</f>
        <v>0</v>
      </c>
      <c r="M13" s="11">
        <f>SUMIF(E:E,K13,G:G)</f>
        <v>0</v>
      </c>
      <c r="N13" s="12">
        <f>IF(M13&gt;L13,"OVER",IF(M13&gt;L13*0.9,"WARN","OK"))</f>
        <v>0</v>
      </c>
    </row>
    <row r="14" spans="2:14">
      <c r="B14" s="12">
        <v>5</v>
      </c>
      <c r="C14" s="71">
        <v>46117</v>
      </c>
      <c r="D14" s="72" t="s">
        <v>124</v>
      </c>
      <c r="E14" s="70"/>
      <c r="F14" s="70"/>
      <c r="G14" s="20"/>
      <c r="H14" s="70"/>
      <c r="I14" s="11">
        <f>I13+G14</f>
        <v>0</v>
      </c>
      <c r="K14" s="59" t="s">
        <v>83</v>
      </c>
      <c r="L14" s="11">
        <f>'Monthly Budget'!D11</f>
        <v>0</v>
      </c>
      <c r="M14" s="11">
        <f>SUMIF(E:E,K14,G:G)</f>
        <v>0</v>
      </c>
      <c r="N14" s="12">
        <f>IF(M14&gt;L14,"OVER",IF(M14&gt;L14*0.9,"WARN","OK"))</f>
        <v>0</v>
      </c>
    </row>
    <row r="15" spans="2:14">
      <c r="B15" s="12">
        <v>6</v>
      </c>
      <c r="C15" s="68">
        <v>46118</v>
      </c>
      <c r="D15" s="69" t="s">
        <v>125</v>
      </c>
      <c r="E15" s="70"/>
      <c r="F15" s="70"/>
      <c r="G15" s="20"/>
      <c r="H15" s="70"/>
      <c r="I15" s="11">
        <f>I14+G15</f>
        <v>0</v>
      </c>
      <c r="K15" s="60" t="s">
        <v>84</v>
      </c>
      <c r="L15" s="11">
        <f>'Monthly Budget'!D12</f>
        <v>0</v>
      </c>
      <c r="M15" s="11">
        <f>SUMIF(E:E,K15,G:G)</f>
        <v>0</v>
      </c>
      <c r="N15" s="12">
        <f>IF(M15&gt;L15,"OVER",IF(M15&gt;L15*0.9,"WARN","OK"))</f>
        <v>0</v>
      </c>
    </row>
    <row r="16" spans="2:14">
      <c r="B16" s="12">
        <v>7</v>
      </c>
      <c r="C16" s="68">
        <v>46119</v>
      </c>
      <c r="D16" s="69" t="s">
        <v>126</v>
      </c>
      <c r="E16" s="70"/>
      <c r="F16" s="70"/>
      <c r="G16" s="20"/>
      <c r="H16" s="70"/>
      <c r="I16" s="11">
        <f>I15+G16</f>
        <v>0</v>
      </c>
      <c r="K16" s="61" t="s">
        <v>85</v>
      </c>
      <c r="L16" s="11">
        <f>'Monthly Budget'!D13</f>
        <v>0</v>
      </c>
      <c r="M16" s="11">
        <f>SUMIF(E:E,K16,G:G)</f>
        <v>0</v>
      </c>
      <c r="N16" s="12">
        <f>IF(M16&gt;L16,"OVER",IF(M16&gt;L16*0.9,"WARN","OK"))</f>
        <v>0</v>
      </c>
    </row>
    <row r="17" spans="2:13">
      <c r="B17" s="12">
        <v>8</v>
      </c>
      <c r="C17" s="68">
        <v>46120</v>
      </c>
      <c r="D17" s="69" t="s">
        <v>127</v>
      </c>
      <c r="E17" s="70"/>
      <c r="F17" s="70"/>
      <c r="G17" s="20"/>
      <c r="H17" s="70"/>
      <c r="I17" s="11">
        <f>I16+G17</f>
        <v>0</v>
      </c>
      <c r="K17" s="52" t="s">
        <v>65</v>
      </c>
      <c r="L17" s="22">
        <f>SUM(L6:L16)</f>
        <v>0</v>
      </c>
      <c r="M17" s="22">
        <f>SUM(M6:M16)</f>
        <v>0</v>
      </c>
    </row>
    <row r="18" spans="2:13">
      <c r="B18" s="12">
        <v>9</v>
      </c>
      <c r="C18" s="68">
        <v>46121</v>
      </c>
      <c r="D18" s="69" t="s">
        <v>121</v>
      </c>
      <c r="E18" s="70"/>
      <c r="F18" s="70"/>
      <c r="G18" s="20"/>
      <c r="H18" s="70"/>
      <c r="I18" s="11">
        <f>I17+G18</f>
        <v>0</v>
      </c>
    </row>
    <row r="19" spans="2:13">
      <c r="B19" s="12">
        <v>10</v>
      </c>
      <c r="C19" s="68">
        <v>46122</v>
      </c>
      <c r="D19" s="69" t="s">
        <v>122</v>
      </c>
      <c r="E19" s="70"/>
      <c r="F19" s="70"/>
      <c r="G19" s="20"/>
      <c r="H19" s="70"/>
      <c r="I19" s="11">
        <f>I18+G19</f>
        <v>0</v>
      </c>
    </row>
    <row r="20" spans="2:13">
      <c r="B20" s="12">
        <v>11</v>
      </c>
      <c r="C20" s="71">
        <v>46123</v>
      </c>
      <c r="D20" s="72" t="s">
        <v>123</v>
      </c>
      <c r="E20" s="70"/>
      <c r="F20" s="70"/>
      <c r="G20" s="20"/>
      <c r="H20" s="70"/>
      <c r="I20" s="11">
        <f>I19+G20</f>
        <v>0</v>
      </c>
    </row>
    <row r="21" spans="2:13">
      <c r="B21" s="12">
        <v>12</v>
      </c>
      <c r="C21" s="71">
        <v>46124</v>
      </c>
      <c r="D21" s="72" t="s">
        <v>124</v>
      </c>
      <c r="E21" s="70"/>
      <c r="F21" s="70"/>
      <c r="G21" s="20"/>
      <c r="H21" s="70"/>
      <c r="I21" s="11">
        <f>I20+G21</f>
        <v>0</v>
      </c>
    </row>
    <row r="22" spans="2:13">
      <c r="B22" s="12">
        <v>13</v>
      </c>
      <c r="C22" s="68">
        <v>46125</v>
      </c>
      <c r="D22" s="69" t="s">
        <v>125</v>
      </c>
      <c r="E22" s="70"/>
      <c r="F22" s="70"/>
      <c r="G22" s="20"/>
      <c r="H22" s="70"/>
      <c r="I22" s="11">
        <f>I21+G22</f>
        <v>0</v>
      </c>
    </row>
    <row r="23" spans="2:13">
      <c r="B23" s="12">
        <v>14</v>
      </c>
      <c r="C23" s="68">
        <v>46126</v>
      </c>
      <c r="D23" s="69" t="s">
        <v>126</v>
      </c>
      <c r="E23" s="70"/>
      <c r="F23" s="70"/>
      <c r="G23" s="20"/>
      <c r="H23" s="70"/>
      <c r="I23" s="11">
        <f>I22+G23</f>
        <v>0</v>
      </c>
    </row>
    <row r="24" spans="2:13">
      <c r="B24" s="12">
        <v>15</v>
      </c>
      <c r="C24" s="68">
        <v>46127</v>
      </c>
      <c r="D24" s="69" t="s">
        <v>127</v>
      </c>
      <c r="E24" s="70"/>
      <c r="F24" s="70"/>
      <c r="G24" s="20"/>
      <c r="H24" s="70"/>
      <c r="I24" s="11">
        <f>I23+G24</f>
        <v>0</v>
      </c>
    </row>
    <row r="25" spans="2:13">
      <c r="B25" s="12">
        <v>16</v>
      </c>
      <c r="C25" s="68">
        <v>46128</v>
      </c>
      <c r="D25" s="69" t="s">
        <v>121</v>
      </c>
      <c r="E25" s="70"/>
      <c r="F25" s="70"/>
      <c r="G25" s="20"/>
      <c r="H25" s="70"/>
      <c r="I25" s="11">
        <f>I24+G25</f>
        <v>0</v>
      </c>
    </row>
    <row r="26" spans="2:13">
      <c r="B26" s="12">
        <v>17</v>
      </c>
      <c r="C26" s="68">
        <v>46129</v>
      </c>
      <c r="D26" s="69" t="s">
        <v>122</v>
      </c>
      <c r="E26" s="70"/>
      <c r="F26" s="70"/>
      <c r="G26" s="20"/>
      <c r="H26" s="70"/>
      <c r="I26" s="11">
        <f>I25+G26</f>
        <v>0</v>
      </c>
    </row>
    <row r="27" spans="2:13">
      <c r="B27" s="12">
        <v>18</v>
      </c>
      <c r="C27" s="71">
        <v>46130</v>
      </c>
      <c r="D27" s="72" t="s">
        <v>123</v>
      </c>
      <c r="E27" s="70"/>
      <c r="F27" s="70"/>
      <c r="G27" s="20"/>
      <c r="H27" s="70"/>
      <c r="I27" s="11">
        <f>I26+G27</f>
        <v>0</v>
      </c>
    </row>
    <row r="28" spans="2:13">
      <c r="B28" s="12">
        <v>19</v>
      </c>
      <c r="C28" s="71">
        <v>46131</v>
      </c>
      <c r="D28" s="72" t="s">
        <v>124</v>
      </c>
      <c r="E28" s="70"/>
      <c r="F28" s="70"/>
      <c r="G28" s="20"/>
      <c r="H28" s="70"/>
      <c r="I28" s="11">
        <f>I27+G28</f>
        <v>0</v>
      </c>
    </row>
    <row r="29" spans="2:13">
      <c r="B29" s="12">
        <v>20</v>
      </c>
      <c r="C29" s="68">
        <v>46132</v>
      </c>
      <c r="D29" s="69" t="s">
        <v>125</v>
      </c>
      <c r="E29" s="70"/>
      <c r="F29" s="70"/>
      <c r="G29" s="20"/>
      <c r="H29" s="70"/>
      <c r="I29" s="11">
        <f>I28+G29</f>
        <v>0</v>
      </c>
    </row>
    <row r="30" spans="2:13">
      <c r="B30" s="12">
        <v>21</v>
      </c>
      <c r="C30" s="68">
        <v>46133</v>
      </c>
      <c r="D30" s="69" t="s">
        <v>126</v>
      </c>
      <c r="E30" s="70"/>
      <c r="F30" s="70"/>
      <c r="G30" s="20"/>
      <c r="H30" s="70"/>
      <c r="I30" s="11">
        <f>I29+G30</f>
        <v>0</v>
      </c>
    </row>
    <row r="31" spans="2:13">
      <c r="B31" s="12">
        <v>22</v>
      </c>
      <c r="C31" s="68">
        <v>46134</v>
      </c>
      <c r="D31" s="69" t="s">
        <v>127</v>
      </c>
      <c r="E31" s="70"/>
      <c r="F31" s="70"/>
      <c r="G31" s="20"/>
      <c r="H31" s="70"/>
      <c r="I31" s="11">
        <f>I30+G31</f>
        <v>0</v>
      </c>
    </row>
    <row r="32" spans="2:13">
      <c r="B32" s="12">
        <v>23</v>
      </c>
      <c r="C32" s="68">
        <v>46135</v>
      </c>
      <c r="D32" s="69" t="s">
        <v>121</v>
      </c>
      <c r="E32" s="70"/>
      <c r="F32" s="70"/>
      <c r="G32" s="20"/>
      <c r="H32" s="70"/>
      <c r="I32" s="11">
        <f>I31+G32</f>
        <v>0</v>
      </c>
    </row>
    <row r="33" spans="2:9">
      <c r="B33" s="12">
        <v>24</v>
      </c>
      <c r="C33" s="68">
        <v>46136</v>
      </c>
      <c r="D33" s="69" t="s">
        <v>122</v>
      </c>
      <c r="E33" s="70"/>
      <c r="F33" s="70"/>
      <c r="G33" s="20"/>
      <c r="H33" s="70"/>
      <c r="I33" s="11">
        <f>I32+G33</f>
        <v>0</v>
      </c>
    </row>
    <row r="34" spans="2:9">
      <c r="B34" s="12">
        <v>25</v>
      </c>
      <c r="C34" s="71">
        <v>46137</v>
      </c>
      <c r="D34" s="72" t="s">
        <v>123</v>
      </c>
      <c r="E34" s="70"/>
      <c r="F34" s="70"/>
      <c r="G34" s="20"/>
      <c r="H34" s="70"/>
      <c r="I34" s="11">
        <f>I33+G34</f>
        <v>0</v>
      </c>
    </row>
    <row r="35" spans="2:9">
      <c r="B35" s="12">
        <v>26</v>
      </c>
      <c r="C35" s="71">
        <v>46138</v>
      </c>
      <c r="D35" s="72" t="s">
        <v>124</v>
      </c>
      <c r="E35" s="70"/>
      <c r="F35" s="70"/>
      <c r="G35" s="20"/>
      <c r="H35" s="70"/>
      <c r="I35" s="11">
        <f>I34+G35</f>
        <v>0</v>
      </c>
    </row>
    <row r="36" spans="2:9">
      <c r="B36" s="12">
        <v>27</v>
      </c>
      <c r="C36" s="68">
        <v>46139</v>
      </c>
      <c r="D36" s="69" t="s">
        <v>125</v>
      </c>
      <c r="E36" s="70"/>
      <c r="F36" s="70"/>
      <c r="G36" s="20"/>
      <c r="H36" s="70"/>
      <c r="I36" s="11">
        <f>I35+G36</f>
        <v>0</v>
      </c>
    </row>
    <row r="37" spans="2:9">
      <c r="B37" s="12">
        <v>28</v>
      </c>
      <c r="C37" s="68">
        <v>46140</v>
      </c>
      <c r="D37" s="69" t="s">
        <v>126</v>
      </c>
      <c r="E37" s="70"/>
      <c r="F37" s="70"/>
      <c r="G37" s="20"/>
      <c r="H37" s="70"/>
      <c r="I37" s="11">
        <f>I36+G37</f>
        <v>0</v>
      </c>
    </row>
    <row r="38" spans="2:9">
      <c r="B38" s="12">
        <v>29</v>
      </c>
      <c r="C38" s="68">
        <v>46141</v>
      </c>
      <c r="D38" s="69" t="s">
        <v>127</v>
      </c>
      <c r="E38" s="70"/>
      <c r="F38" s="70"/>
      <c r="G38" s="20"/>
      <c r="H38" s="70"/>
      <c r="I38" s="11">
        <f>I37+G38</f>
        <v>0</v>
      </c>
    </row>
    <row r="39" spans="2:9">
      <c r="B39" s="12">
        <v>30</v>
      </c>
      <c r="C39" s="68">
        <v>46142</v>
      </c>
      <c r="D39" s="69" t="s">
        <v>121</v>
      </c>
      <c r="E39" s="70"/>
      <c r="F39" s="70"/>
      <c r="G39" s="20"/>
      <c r="H39" s="70"/>
      <c r="I39" s="11">
        <f>I38+G39</f>
        <v>0</v>
      </c>
    </row>
    <row r="40" spans="2:9">
      <c r="F40" s="88" t="s">
        <v>128</v>
      </c>
      <c r="G40" s="89">
        <f>SUM(G10:G39)</f>
        <v>0</v>
      </c>
    </row>
  </sheetData>
  <mergeCells count="5">
    <mergeCell ref="B1:I1"/>
    <mergeCell ref="B2:I2"/>
    <mergeCell ref="B4:D4"/>
    <mergeCell ref="F4:I4"/>
    <mergeCell ref="K4:N4"/>
  </mergeCells>
  <conditionalFormatting sqref="E10:E39">
    <cfRule type="containsText" dxfId="3" priority="1" operator="containsText" text="Rent + Utilities">
      <formula>NOT(ISERROR(SEARCH("Rent + Utilities",E10)))</formula>
    </cfRule>
    <cfRule type="containsText" dxfId="4" priority="2" operator="containsText" text="Electricity Deposit">
      <formula>NOT(ISERROR(SEARCH("Electricity Deposit",E10)))</formula>
    </cfRule>
    <cfRule type="containsText" dxfId="5" priority="3" operator="containsText" text="Internet &amp; Phone Bills">
      <formula>NOT(ISERROR(SEARCH("Internet &amp; Phone Bills",E10)))</formula>
    </cfRule>
    <cfRule type="containsText" dxfId="6" priority="4" operator="containsText" text="Food &amp; Groceries">
      <formula>NOT(ISERROR(SEARCH("Food &amp; Groceries",E10)))</formula>
    </cfRule>
    <cfRule type="containsText" dxfId="7" priority="5" operator="containsText" text="Investments">
      <formula>NOT(ISERROR(SEARCH("Investments",E10)))</formula>
    </cfRule>
    <cfRule type="containsText" dxfId="8" priority="6" operator="containsText" text="Date Nights">
      <formula>NOT(ISERROR(SEARCH("Date Nights",E10)))</formula>
    </cfRule>
    <cfRule type="containsText" dxfId="9" priority="7" operator="containsText" text="Annual Costs Savings">
      <formula>NOT(ISERROR(SEARCH("Annual Costs Savings",E10)))</formula>
    </cfRule>
    <cfRule type="containsText" dxfId="10" priority="8" operator="containsText" text="Emergency Buffer">
      <formula>NOT(ISERROR(SEARCH("Emergency Buffer",E10)))</formula>
    </cfRule>
    <cfRule type="containsText" dxfId="11" priority="9" operator="containsText" text="Personal Care">
      <formula>NOT(ISERROR(SEARCH("Personal Care",E10)))</formula>
    </cfRule>
    <cfRule type="containsText" dxfId="12" priority="10" operator="containsText" text="Personal Savings">
      <formula>NOT(ISERROR(SEARCH("Personal Savings",E10)))</formula>
    </cfRule>
    <cfRule type="containsText" dxfId="13" priority="11" operator="containsText" text="Miscellaneous">
      <formula>NOT(ISERROR(SEARCH("Miscellaneous",E10)))</formula>
    </cfRule>
  </conditionalFormatting>
  <conditionalFormatting sqref="N10">
    <cfRule type="containsText" dxfId="0" priority="24" operator="containsText" text="OVER">
      <formula>NOT(ISERROR(SEARCH("OVER",N10)))</formula>
    </cfRule>
    <cfRule type="containsText" dxfId="1" priority="25" operator="containsText" text="WARN">
      <formula>NOT(ISERROR(SEARCH("WARN",N10)))</formula>
    </cfRule>
    <cfRule type="containsText" dxfId="2" priority="26" operator="containsText" text="OK">
      <formula>NOT(ISERROR(SEARCH("OK",N10)))</formula>
    </cfRule>
  </conditionalFormatting>
  <conditionalFormatting sqref="N11">
    <cfRule type="containsText" dxfId="0" priority="27" operator="containsText" text="OVER">
      <formula>NOT(ISERROR(SEARCH("OVER",N11)))</formula>
    </cfRule>
    <cfRule type="containsText" dxfId="1" priority="28" operator="containsText" text="WARN">
      <formula>NOT(ISERROR(SEARCH("WARN",N11)))</formula>
    </cfRule>
    <cfRule type="containsText" dxfId="2" priority="29" operator="containsText" text="OK">
      <formula>NOT(ISERROR(SEARCH("OK",N11)))</formula>
    </cfRule>
  </conditionalFormatting>
  <conditionalFormatting sqref="N12">
    <cfRule type="containsText" dxfId="0" priority="30" operator="containsText" text="OVER">
      <formula>NOT(ISERROR(SEARCH("OVER",N12)))</formula>
    </cfRule>
    <cfRule type="containsText" dxfId="1" priority="31" operator="containsText" text="WARN">
      <formula>NOT(ISERROR(SEARCH("WARN",N12)))</formula>
    </cfRule>
    <cfRule type="containsText" dxfId="2" priority="32" operator="containsText" text="OK">
      <formula>NOT(ISERROR(SEARCH("OK",N12)))</formula>
    </cfRule>
  </conditionalFormatting>
  <conditionalFormatting sqref="N13">
    <cfRule type="containsText" dxfId="0" priority="33" operator="containsText" text="OVER">
      <formula>NOT(ISERROR(SEARCH("OVER",N13)))</formula>
    </cfRule>
    <cfRule type="containsText" dxfId="1" priority="34" operator="containsText" text="WARN">
      <formula>NOT(ISERROR(SEARCH("WARN",N13)))</formula>
    </cfRule>
    <cfRule type="containsText" dxfId="2" priority="35" operator="containsText" text="OK">
      <formula>NOT(ISERROR(SEARCH("OK",N13)))</formula>
    </cfRule>
  </conditionalFormatting>
  <conditionalFormatting sqref="N14">
    <cfRule type="containsText" dxfId="0" priority="36" operator="containsText" text="OVER">
      <formula>NOT(ISERROR(SEARCH("OVER",N14)))</formula>
    </cfRule>
    <cfRule type="containsText" dxfId="1" priority="37" operator="containsText" text="WARN">
      <formula>NOT(ISERROR(SEARCH("WARN",N14)))</formula>
    </cfRule>
    <cfRule type="containsText" dxfId="2" priority="38" operator="containsText" text="OK">
      <formula>NOT(ISERROR(SEARCH("OK",N14)))</formula>
    </cfRule>
  </conditionalFormatting>
  <conditionalFormatting sqref="N15">
    <cfRule type="containsText" dxfId="0" priority="39" operator="containsText" text="OVER">
      <formula>NOT(ISERROR(SEARCH("OVER",N15)))</formula>
    </cfRule>
    <cfRule type="containsText" dxfId="1" priority="40" operator="containsText" text="WARN">
      <formula>NOT(ISERROR(SEARCH("WARN",N15)))</formula>
    </cfRule>
    <cfRule type="containsText" dxfId="2" priority="41" operator="containsText" text="OK">
      <formula>NOT(ISERROR(SEARCH("OK",N15)))</formula>
    </cfRule>
  </conditionalFormatting>
  <conditionalFormatting sqref="N16">
    <cfRule type="containsText" dxfId="0" priority="42" operator="containsText" text="OVER">
      <formula>NOT(ISERROR(SEARCH("OVER",N16)))</formula>
    </cfRule>
    <cfRule type="containsText" dxfId="1" priority="43" operator="containsText" text="WARN">
      <formula>NOT(ISERROR(SEARCH("WARN",N16)))</formula>
    </cfRule>
    <cfRule type="containsText" dxfId="2" priority="44" operator="containsText" text="OK">
      <formula>NOT(ISERROR(SEARCH("OK",N16)))</formula>
    </cfRule>
  </conditionalFormatting>
  <conditionalFormatting sqref="N6">
    <cfRule type="containsText" dxfId="0" priority="12" operator="containsText" text="OVER">
      <formula>NOT(ISERROR(SEARCH("OVER",N6)))</formula>
    </cfRule>
    <cfRule type="containsText" dxfId="1" priority="13" operator="containsText" text="WARN">
      <formula>NOT(ISERROR(SEARCH("WARN",N6)))</formula>
    </cfRule>
    <cfRule type="containsText" dxfId="2" priority="14" operator="containsText" text="OK">
      <formula>NOT(ISERROR(SEARCH("OK",N6)))</formula>
    </cfRule>
  </conditionalFormatting>
  <conditionalFormatting sqref="N7">
    <cfRule type="containsText" dxfId="0" priority="15" operator="containsText" text="OVER">
      <formula>NOT(ISERROR(SEARCH("OVER",N7)))</formula>
    </cfRule>
    <cfRule type="containsText" dxfId="1" priority="16" operator="containsText" text="WARN">
      <formula>NOT(ISERROR(SEARCH("WARN",N7)))</formula>
    </cfRule>
    <cfRule type="containsText" dxfId="2" priority="17" operator="containsText" text="OK">
      <formula>NOT(ISERROR(SEARCH("OK",N7)))</formula>
    </cfRule>
  </conditionalFormatting>
  <conditionalFormatting sqref="N8">
    <cfRule type="containsText" dxfId="0" priority="18" operator="containsText" text="OVER">
      <formula>NOT(ISERROR(SEARCH("OVER",N8)))</formula>
    </cfRule>
    <cfRule type="containsText" dxfId="1" priority="19" operator="containsText" text="WARN">
      <formula>NOT(ISERROR(SEARCH("WARN",N8)))</formula>
    </cfRule>
    <cfRule type="containsText" dxfId="2" priority="20" operator="containsText" text="OK">
      <formula>NOT(ISERROR(SEARCH("OK",N8)))</formula>
    </cfRule>
  </conditionalFormatting>
  <conditionalFormatting sqref="N9">
    <cfRule type="containsText" dxfId="0" priority="21" operator="containsText" text="OVER">
      <formula>NOT(ISERROR(SEARCH("OVER",N9)))</formula>
    </cfRule>
    <cfRule type="containsText" dxfId="1" priority="22" operator="containsText" text="WARN">
      <formula>NOT(ISERROR(SEARCH("WARN",N9)))</formula>
    </cfRule>
    <cfRule type="containsText" dxfId="2" priority="23" operator="containsText" text="OK">
      <formula>NOT(ISERROR(SEARCH("OK",N9)))</formula>
    </cfRule>
  </conditionalFormatting>
  <dataValidations count="61">
    <dataValidation type="list" allowBlank="1" showInputMessage="1" showErrorMessage="1" sqref="I6">
      <formula1>"CZK,USD,EUR,NGN"</formula1>
    </dataValidation>
    <dataValidation type="list" allowBlank="1" showInputMessage="1" showErrorMessage="1" sqref="E1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0">
      <formula1>"Cash,Card,Transfer,Online"</formula1>
    </dataValidation>
    <dataValidation type="list" allowBlank="1" showInputMessage="1" showErrorMessage="1" sqref="E1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1">
      <formula1>"Cash,Card,Transfer,Online"</formula1>
    </dataValidation>
    <dataValidation type="list" allowBlank="1" showInputMessage="1" showErrorMessage="1" sqref="E1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2">
      <formula1>"Cash,Card,Transfer,Online"</formula1>
    </dataValidation>
    <dataValidation type="list" allowBlank="1" showInputMessage="1" showErrorMessage="1" sqref="E1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3">
      <formula1>"Cash,Card,Transfer,Online"</formula1>
    </dataValidation>
    <dataValidation type="list" allowBlank="1" showInputMessage="1" showErrorMessage="1" sqref="E1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4">
      <formula1>"Cash,Card,Transfer,Online"</formula1>
    </dataValidation>
    <dataValidation type="list" allowBlank="1" showInputMessage="1" showErrorMessage="1" sqref="E1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5">
      <formula1>"Cash,Card,Transfer,Online"</formula1>
    </dataValidation>
    <dataValidation type="list" allowBlank="1" showInputMessage="1" showErrorMessage="1" sqref="E1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6">
      <formula1>"Cash,Card,Transfer,Online"</formula1>
    </dataValidation>
    <dataValidation type="list" allowBlank="1" showInputMessage="1" showErrorMessage="1" sqref="E1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7">
      <formula1>"Cash,Card,Transfer,Online"</formula1>
    </dataValidation>
    <dataValidation type="list" allowBlank="1" showInputMessage="1" showErrorMessage="1" sqref="E1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8">
      <formula1>"Cash,Card,Transfer,Online"</formula1>
    </dataValidation>
    <dataValidation type="list" allowBlank="1" showInputMessage="1" showErrorMessage="1" sqref="E1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9">
      <formula1>"Cash,Card,Transfer,Online"</formula1>
    </dataValidation>
    <dataValidation type="list" allowBlank="1" showInputMessage="1" showErrorMessage="1" sqref="E2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0">
      <formula1>"Cash,Card,Transfer,Online"</formula1>
    </dataValidation>
    <dataValidation type="list" allowBlank="1" showInputMessage="1" showErrorMessage="1" sqref="E2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1">
      <formula1>"Cash,Card,Transfer,Online"</formula1>
    </dataValidation>
    <dataValidation type="list" allowBlank="1" showInputMessage="1" showErrorMessage="1" sqref="E2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2">
      <formula1>"Cash,Card,Transfer,Online"</formula1>
    </dataValidation>
    <dataValidation type="list" allowBlank="1" showInputMessage="1" showErrorMessage="1" sqref="E2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3">
      <formula1>"Cash,Card,Transfer,Online"</formula1>
    </dataValidation>
    <dataValidation type="list" allowBlank="1" showInputMessage="1" showErrorMessage="1" sqref="E2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4">
      <formula1>"Cash,Card,Transfer,Online"</formula1>
    </dataValidation>
    <dataValidation type="list" allowBlank="1" showInputMessage="1" showErrorMessage="1" sqref="E2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5">
      <formula1>"Cash,Card,Transfer,Online"</formula1>
    </dataValidation>
    <dataValidation type="list" allowBlank="1" showInputMessage="1" showErrorMessage="1" sqref="E2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6">
      <formula1>"Cash,Card,Transfer,Online"</formula1>
    </dataValidation>
    <dataValidation type="list" allowBlank="1" showInputMessage="1" showErrorMessage="1" sqref="E2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7">
      <formula1>"Cash,Card,Transfer,Online"</formula1>
    </dataValidation>
    <dataValidation type="list" allowBlank="1" showInputMessage="1" showErrorMessage="1" sqref="E2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8">
      <formula1>"Cash,Card,Transfer,Online"</formula1>
    </dataValidation>
    <dataValidation type="list" allowBlank="1" showInputMessage="1" showErrorMessage="1" sqref="E2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9">
      <formula1>"Cash,Card,Transfer,Online"</formula1>
    </dataValidation>
    <dataValidation type="list" allowBlank="1" showInputMessage="1" showErrorMessage="1" sqref="E3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0">
      <formula1>"Cash,Card,Transfer,Online"</formula1>
    </dataValidation>
    <dataValidation type="list" allowBlank="1" showInputMessage="1" showErrorMessage="1" sqref="E3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1">
      <formula1>"Cash,Card,Transfer,Online"</formula1>
    </dataValidation>
    <dataValidation type="list" allowBlank="1" showInputMessage="1" showErrorMessage="1" sqref="E3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2">
      <formula1>"Cash,Card,Transfer,Online"</formula1>
    </dataValidation>
    <dataValidation type="list" allowBlank="1" showInputMessage="1" showErrorMessage="1" sqref="E3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3">
      <formula1>"Cash,Card,Transfer,Online"</formula1>
    </dataValidation>
    <dataValidation type="list" allowBlank="1" showInputMessage="1" showErrorMessage="1" sqref="E3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4">
      <formula1>"Cash,Card,Transfer,Online"</formula1>
    </dataValidation>
    <dataValidation type="list" allowBlank="1" showInputMessage="1" showErrorMessage="1" sqref="E3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5">
      <formula1>"Cash,Card,Transfer,Online"</formula1>
    </dataValidation>
    <dataValidation type="list" allowBlank="1" showInputMessage="1" showErrorMessage="1" sqref="E3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6">
      <formula1>"Cash,Card,Transfer,Online"</formula1>
    </dataValidation>
    <dataValidation type="list" allowBlank="1" showInputMessage="1" showErrorMessage="1" sqref="E3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7">
      <formula1>"Cash,Card,Transfer,Online"</formula1>
    </dataValidation>
    <dataValidation type="list" allowBlank="1" showInputMessage="1" showErrorMessage="1" sqref="E3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8">
      <formula1>"Cash,Card,Transfer,Online"</formula1>
    </dataValidation>
    <dataValidation type="list" allowBlank="1" showInputMessage="1" showErrorMessage="1" sqref="E3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9">
      <formula1>"Cash,Card,Transfer,Online"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E91E63"/>
  </sheetPr>
  <dimension ref="B1:N41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/>
  <cols>
    <col min="1" max="1" width="5.7109375" customWidth="1"/>
    <col min="2" max="2" width="6.7109375" customWidth="1"/>
    <col min="3" max="3" width="14.7109375" customWidth="1"/>
    <col min="4" max="4" width="12.7109375" customWidth="1"/>
    <col min="5" max="5" width="28.7109375" customWidth="1"/>
    <col min="6" max="6" width="38.7109375" customWidth="1"/>
    <col min="7" max="7" width="20.7109375" customWidth="1"/>
    <col min="8" max="8" width="16.7109375" customWidth="1"/>
    <col min="9" max="9" width="20.7109375" customWidth="1"/>
    <col min="11" max="11" width="28.7109375" customWidth="1"/>
    <col min="12" max="13" width="18.7109375" customWidth="1"/>
    <col min="14" max="14" width="14.7109375" customWidth="1"/>
  </cols>
  <sheetData>
    <row r="1" spans="2:14" ht="45" customHeight="1">
      <c r="B1" s="90" t="s">
        <v>139</v>
      </c>
      <c r="C1" s="90"/>
      <c r="D1" s="90"/>
      <c r="E1" s="90"/>
      <c r="F1" s="90"/>
      <c r="G1" s="90"/>
      <c r="H1" s="90"/>
      <c r="I1" s="90"/>
    </row>
    <row r="2" spans="2:14">
      <c r="B2" s="91" t="s">
        <v>140</v>
      </c>
      <c r="C2" s="91"/>
      <c r="D2" s="91"/>
      <c r="E2" s="91"/>
      <c r="F2" s="91"/>
      <c r="G2" s="91"/>
      <c r="H2" s="91"/>
      <c r="I2" s="91"/>
    </row>
    <row r="4" spans="2:14">
      <c r="B4" s="92" t="s">
        <v>108</v>
      </c>
      <c r="C4" s="92"/>
      <c r="D4" s="92"/>
      <c r="F4" s="92" t="s">
        <v>112</v>
      </c>
      <c r="G4" s="92"/>
      <c r="H4" s="92"/>
      <c r="I4" s="92"/>
      <c r="K4" s="92" t="s">
        <v>141</v>
      </c>
      <c r="L4" s="92"/>
      <c r="M4" s="92"/>
      <c r="N4" s="92"/>
    </row>
    <row r="5" spans="2:14">
      <c r="B5" s="1" t="s">
        <v>109</v>
      </c>
      <c r="C5" s="20">
        <v>0</v>
      </c>
      <c r="F5" s="1" t="s">
        <v>113</v>
      </c>
      <c r="G5" s="11">
        <v>60000</v>
      </c>
      <c r="H5" s="1" t="s">
        <v>114</v>
      </c>
      <c r="I5" s="66">
        <f>Dashboard!$N$2</f>
        <v>0</v>
      </c>
      <c r="K5" s="9" t="s">
        <v>31</v>
      </c>
      <c r="L5" s="9" t="s">
        <v>32</v>
      </c>
      <c r="M5" s="9" t="s">
        <v>33</v>
      </c>
      <c r="N5" s="9" t="s">
        <v>34</v>
      </c>
    </row>
    <row r="6" spans="2:14">
      <c r="B6" s="1" t="s">
        <v>110</v>
      </c>
      <c r="C6" s="20">
        <v>0</v>
      </c>
      <c r="F6" s="1" t="s">
        <v>92</v>
      </c>
      <c r="G6" s="20">
        <v>0</v>
      </c>
      <c r="H6" s="1" t="s">
        <v>114</v>
      </c>
      <c r="I6" s="67" t="s">
        <v>5</v>
      </c>
      <c r="K6" s="24" t="s">
        <v>36</v>
      </c>
      <c r="L6" s="11">
        <f>'Monthly Budget'!D3</f>
        <v>0</v>
      </c>
      <c r="M6" s="11">
        <f>SUMIF(E:E,K6,G:G)</f>
        <v>0</v>
      </c>
      <c r="N6" s="12">
        <f>IF(M6&gt;L6,"OVER",IF(M6&gt;L6*0.9,"WARN","OK"))</f>
        <v>0</v>
      </c>
    </row>
    <row r="7" spans="2:14">
      <c r="B7" s="1" t="s">
        <v>111</v>
      </c>
      <c r="C7" s="22">
        <f>C6-C5</f>
        <v>0</v>
      </c>
      <c r="F7" s="1" t="s">
        <v>93</v>
      </c>
      <c r="G7" s="22">
        <f>G5+G6</f>
        <v>0</v>
      </c>
      <c r="K7" s="25" t="s">
        <v>37</v>
      </c>
      <c r="L7" s="11">
        <f>'Monthly Budget'!D4</f>
        <v>0</v>
      </c>
      <c r="M7" s="11">
        <f>SUMIF(E:E,K7,G:G)</f>
        <v>0</v>
      </c>
      <c r="N7" s="12">
        <f>IF(M7&gt;L7,"OVER",IF(M7&gt;L7*0.9,"WARN","OK"))</f>
        <v>0</v>
      </c>
    </row>
    <row r="8" spans="2:14">
      <c r="K8" s="27" t="s">
        <v>38</v>
      </c>
      <c r="L8" s="11">
        <f>'Monthly Budget'!D5</f>
        <v>0</v>
      </c>
      <c r="M8" s="11">
        <f>SUMIF(E:E,K8,G:G)</f>
        <v>0</v>
      </c>
      <c r="N8" s="12">
        <f>IF(M8&gt;L8,"OVER",IF(M8&gt;L8*0.9,"WARN","OK"))</f>
        <v>0</v>
      </c>
    </row>
    <row r="9" spans="2:14">
      <c r="B9" s="92" t="s">
        <v>95</v>
      </c>
      <c r="C9" s="92" t="s">
        <v>115</v>
      </c>
      <c r="D9" s="92" t="s">
        <v>116</v>
      </c>
      <c r="E9" s="92" t="s">
        <v>31</v>
      </c>
      <c r="F9" s="92" t="s">
        <v>117</v>
      </c>
      <c r="G9" s="92" t="s">
        <v>118</v>
      </c>
      <c r="H9" s="92" t="s">
        <v>119</v>
      </c>
      <c r="I9" s="92" t="s">
        <v>120</v>
      </c>
      <c r="K9" s="29" t="s">
        <v>39</v>
      </c>
      <c r="L9" s="11">
        <f>'Monthly Budget'!D6</f>
        <v>0</v>
      </c>
      <c r="M9" s="11">
        <f>SUMIF(E:E,K9,G:G)</f>
        <v>0</v>
      </c>
      <c r="N9" s="12">
        <f>IF(M9&gt;L9,"OVER",IF(M9&gt;L9*0.9,"WARN","OK"))</f>
        <v>0</v>
      </c>
    </row>
    <row r="10" spans="2:14">
      <c r="B10" s="12">
        <v>1</v>
      </c>
      <c r="C10" s="68">
        <v>46143</v>
      </c>
      <c r="D10" s="69" t="s">
        <v>122</v>
      </c>
      <c r="E10" s="70"/>
      <c r="F10" s="70"/>
      <c r="G10" s="20"/>
      <c r="H10" s="70"/>
      <c r="I10" s="11">
        <f>G10</f>
        <v>0</v>
      </c>
      <c r="K10" s="30" t="s">
        <v>40</v>
      </c>
      <c r="L10" s="11">
        <f>'Monthly Budget'!D7</f>
        <v>0</v>
      </c>
      <c r="M10" s="11">
        <f>SUMIF(E:E,K10,G:G)</f>
        <v>0</v>
      </c>
      <c r="N10" s="12">
        <f>IF(M10&gt;L10,"OVER",IF(M10&gt;L10*0.9,"WARN","OK"))</f>
        <v>0</v>
      </c>
    </row>
    <row r="11" spans="2:14">
      <c r="B11" s="12">
        <v>2</v>
      </c>
      <c r="C11" s="71">
        <v>46144</v>
      </c>
      <c r="D11" s="72" t="s">
        <v>123</v>
      </c>
      <c r="E11" s="70"/>
      <c r="F11" s="70"/>
      <c r="G11" s="20"/>
      <c r="H11" s="70"/>
      <c r="I11" s="11">
        <f>I10+G11</f>
        <v>0</v>
      </c>
      <c r="K11" s="31" t="s">
        <v>41</v>
      </c>
      <c r="L11" s="11">
        <f>'Monthly Budget'!D8</f>
        <v>0</v>
      </c>
      <c r="M11" s="11">
        <f>SUMIF(E:E,K11,G:G)</f>
        <v>0</v>
      </c>
      <c r="N11" s="12">
        <f>IF(M11&gt;L11,"OVER",IF(M11&gt;L11*0.9,"WARN","OK"))</f>
        <v>0</v>
      </c>
    </row>
    <row r="12" spans="2:14">
      <c r="B12" s="12">
        <v>3</v>
      </c>
      <c r="C12" s="71">
        <v>46145</v>
      </c>
      <c r="D12" s="72" t="s">
        <v>124</v>
      </c>
      <c r="E12" s="70"/>
      <c r="F12" s="70"/>
      <c r="G12" s="20"/>
      <c r="H12" s="70"/>
      <c r="I12" s="11">
        <f>I11+G12</f>
        <v>0</v>
      </c>
      <c r="K12" s="33" t="s">
        <v>42</v>
      </c>
      <c r="L12" s="11">
        <f>'Monthly Budget'!D9</f>
        <v>0</v>
      </c>
      <c r="M12" s="11">
        <f>SUMIF(E:E,K12,G:G)</f>
        <v>0</v>
      </c>
      <c r="N12" s="12">
        <f>IF(M12&gt;L12,"OVER",IF(M12&gt;L12*0.9,"WARN","OK"))</f>
        <v>0</v>
      </c>
    </row>
    <row r="13" spans="2:14">
      <c r="B13" s="12">
        <v>4</v>
      </c>
      <c r="C13" s="68">
        <v>46146</v>
      </c>
      <c r="D13" s="69" t="s">
        <v>125</v>
      </c>
      <c r="E13" s="70"/>
      <c r="F13" s="70"/>
      <c r="G13" s="20"/>
      <c r="H13" s="70"/>
      <c r="I13" s="11">
        <f>I12+G13</f>
        <v>0</v>
      </c>
      <c r="K13" s="38" t="s">
        <v>43</v>
      </c>
      <c r="L13" s="11">
        <f>'Monthly Budget'!D10</f>
        <v>0</v>
      </c>
      <c r="M13" s="11">
        <f>SUMIF(E:E,K13,G:G)</f>
        <v>0</v>
      </c>
      <c r="N13" s="12">
        <f>IF(M13&gt;L13,"OVER",IF(M13&gt;L13*0.9,"WARN","OK"))</f>
        <v>0</v>
      </c>
    </row>
    <row r="14" spans="2:14">
      <c r="B14" s="12">
        <v>5</v>
      </c>
      <c r="C14" s="68">
        <v>46147</v>
      </c>
      <c r="D14" s="69" t="s">
        <v>126</v>
      </c>
      <c r="E14" s="70"/>
      <c r="F14" s="70"/>
      <c r="G14" s="20"/>
      <c r="H14" s="70"/>
      <c r="I14" s="11">
        <f>I13+G14</f>
        <v>0</v>
      </c>
      <c r="K14" s="59" t="s">
        <v>83</v>
      </c>
      <c r="L14" s="11">
        <f>'Monthly Budget'!D11</f>
        <v>0</v>
      </c>
      <c r="M14" s="11">
        <f>SUMIF(E:E,K14,G:G)</f>
        <v>0</v>
      </c>
      <c r="N14" s="12">
        <f>IF(M14&gt;L14,"OVER",IF(M14&gt;L14*0.9,"WARN","OK"))</f>
        <v>0</v>
      </c>
    </row>
    <row r="15" spans="2:14">
      <c r="B15" s="12">
        <v>6</v>
      </c>
      <c r="C15" s="68">
        <v>46148</v>
      </c>
      <c r="D15" s="69" t="s">
        <v>127</v>
      </c>
      <c r="E15" s="70"/>
      <c r="F15" s="70"/>
      <c r="G15" s="20"/>
      <c r="H15" s="70"/>
      <c r="I15" s="11">
        <f>I14+G15</f>
        <v>0</v>
      </c>
      <c r="K15" s="60" t="s">
        <v>84</v>
      </c>
      <c r="L15" s="11">
        <f>'Monthly Budget'!D12</f>
        <v>0</v>
      </c>
      <c r="M15" s="11">
        <f>SUMIF(E:E,K15,G:G)</f>
        <v>0</v>
      </c>
      <c r="N15" s="12">
        <f>IF(M15&gt;L15,"OVER",IF(M15&gt;L15*0.9,"WARN","OK"))</f>
        <v>0</v>
      </c>
    </row>
    <row r="16" spans="2:14">
      <c r="B16" s="12">
        <v>7</v>
      </c>
      <c r="C16" s="68">
        <v>46149</v>
      </c>
      <c r="D16" s="69" t="s">
        <v>121</v>
      </c>
      <c r="E16" s="70"/>
      <c r="F16" s="70"/>
      <c r="G16" s="20"/>
      <c r="H16" s="70"/>
      <c r="I16" s="11">
        <f>I15+G16</f>
        <v>0</v>
      </c>
      <c r="K16" s="61" t="s">
        <v>85</v>
      </c>
      <c r="L16" s="11">
        <f>'Monthly Budget'!D13</f>
        <v>0</v>
      </c>
      <c r="M16" s="11">
        <f>SUMIF(E:E,K16,G:G)</f>
        <v>0</v>
      </c>
      <c r="N16" s="12">
        <f>IF(M16&gt;L16,"OVER",IF(M16&gt;L16*0.9,"WARN","OK"))</f>
        <v>0</v>
      </c>
    </row>
    <row r="17" spans="2:13">
      <c r="B17" s="12">
        <v>8</v>
      </c>
      <c r="C17" s="68">
        <v>46150</v>
      </c>
      <c r="D17" s="69" t="s">
        <v>122</v>
      </c>
      <c r="E17" s="70"/>
      <c r="F17" s="70"/>
      <c r="G17" s="20"/>
      <c r="H17" s="70"/>
      <c r="I17" s="11">
        <f>I16+G17</f>
        <v>0</v>
      </c>
      <c r="K17" s="52" t="s">
        <v>65</v>
      </c>
      <c r="L17" s="22">
        <f>SUM(L6:L16)</f>
        <v>0</v>
      </c>
      <c r="M17" s="22">
        <f>SUM(M6:M16)</f>
        <v>0</v>
      </c>
    </row>
    <row r="18" spans="2:13">
      <c r="B18" s="12">
        <v>9</v>
      </c>
      <c r="C18" s="71">
        <v>46151</v>
      </c>
      <c r="D18" s="72" t="s">
        <v>123</v>
      </c>
      <c r="E18" s="70"/>
      <c r="F18" s="70"/>
      <c r="G18" s="20"/>
      <c r="H18" s="70"/>
      <c r="I18" s="11">
        <f>I17+G18</f>
        <v>0</v>
      </c>
    </row>
    <row r="19" spans="2:13">
      <c r="B19" s="12">
        <v>10</v>
      </c>
      <c r="C19" s="71">
        <v>46152</v>
      </c>
      <c r="D19" s="72" t="s">
        <v>124</v>
      </c>
      <c r="E19" s="70"/>
      <c r="F19" s="70"/>
      <c r="G19" s="20"/>
      <c r="H19" s="70"/>
      <c r="I19" s="11">
        <f>I18+G19</f>
        <v>0</v>
      </c>
    </row>
    <row r="20" spans="2:13">
      <c r="B20" s="12">
        <v>11</v>
      </c>
      <c r="C20" s="68">
        <v>46153</v>
      </c>
      <c r="D20" s="69" t="s">
        <v>125</v>
      </c>
      <c r="E20" s="70"/>
      <c r="F20" s="70"/>
      <c r="G20" s="20"/>
      <c r="H20" s="70"/>
      <c r="I20" s="11">
        <f>I19+G20</f>
        <v>0</v>
      </c>
    </row>
    <row r="21" spans="2:13">
      <c r="B21" s="12">
        <v>12</v>
      </c>
      <c r="C21" s="68">
        <v>46154</v>
      </c>
      <c r="D21" s="69" t="s">
        <v>126</v>
      </c>
      <c r="E21" s="70"/>
      <c r="F21" s="70"/>
      <c r="G21" s="20"/>
      <c r="H21" s="70"/>
      <c r="I21" s="11">
        <f>I20+G21</f>
        <v>0</v>
      </c>
    </row>
    <row r="22" spans="2:13">
      <c r="B22" s="12">
        <v>13</v>
      </c>
      <c r="C22" s="68">
        <v>46155</v>
      </c>
      <c r="D22" s="69" t="s">
        <v>127</v>
      </c>
      <c r="E22" s="70"/>
      <c r="F22" s="70"/>
      <c r="G22" s="20"/>
      <c r="H22" s="70"/>
      <c r="I22" s="11">
        <f>I21+G22</f>
        <v>0</v>
      </c>
    </row>
    <row r="23" spans="2:13">
      <c r="B23" s="12">
        <v>14</v>
      </c>
      <c r="C23" s="68">
        <v>46156</v>
      </c>
      <c r="D23" s="69" t="s">
        <v>121</v>
      </c>
      <c r="E23" s="70"/>
      <c r="F23" s="70"/>
      <c r="G23" s="20"/>
      <c r="H23" s="70"/>
      <c r="I23" s="11">
        <f>I22+G23</f>
        <v>0</v>
      </c>
    </row>
    <row r="24" spans="2:13">
      <c r="B24" s="12">
        <v>15</v>
      </c>
      <c r="C24" s="68">
        <v>46157</v>
      </c>
      <c r="D24" s="69" t="s">
        <v>122</v>
      </c>
      <c r="E24" s="70"/>
      <c r="F24" s="70"/>
      <c r="G24" s="20"/>
      <c r="H24" s="70"/>
      <c r="I24" s="11">
        <f>I23+G24</f>
        <v>0</v>
      </c>
    </row>
    <row r="25" spans="2:13">
      <c r="B25" s="12">
        <v>16</v>
      </c>
      <c r="C25" s="71">
        <v>46158</v>
      </c>
      <c r="D25" s="72" t="s">
        <v>123</v>
      </c>
      <c r="E25" s="70"/>
      <c r="F25" s="70"/>
      <c r="G25" s="20"/>
      <c r="H25" s="70"/>
      <c r="I25" s="11">
        <f>I24+G25</f>
        <v>0</v>
      </c>
    </row>
    <row r="26" spans="2:13">
      <c r="B26" s="12">
        <v>17</v>
      </c>
      <c r="C26" s="71">
        <v>46159</v>
      </c>
      <c r="D26" s="72" t="s">
        <v>124</v>
      </c>
      <c r="E26" s="70"/>
      <c r="F26" s="70"/>
      <c r="G26" s="20"/>
      <c r="H26" s="70"/>
      <c r="I26" s="11">
        <f>I25+G26</f>
        <v>0</v>
      </c>
    </row>
    <row r="27" spans="2:13">
      <c r="B27" s="12">
        <v>18</v>
      </c>
      <c r="C27" s="68">
        <v>46160</v>
      </c>
      <c r="D27" s="69" t="s">
        <v>125</v>
      </c>
      <c r="E27" s="70"/>
      <c r="F27" s="70"/>
      <c r="G27" s="20"/>
      <c r="H27" s="70"/>
      <c r="I27" s="11">
        <f>I26+G27</f>
        <v>0</v>
      </c>
    </row>
    <row r="28" spans="2:13">
      <c r="B28" s="12">
        <v>19</v>
      </c>
      <c r="C28" s="68">
        <v>46161</v>
      </c>
      <c r="D28" s="69" t="s">
        <v>126</v>
      </c>
      <c r="E28" s="70"/>
      <c r="F28" s="70"/>
      <c r="G28" s="20"/>
      <c r="H28" s="70"/>
      <c r="I28" s="11">
        <f>I27+G28</f>
        <v>0</v>
      </c>
    </row>
    <row r="29" spans="2:13">
      <c r="B29" s="12">
        <v>20</v>
      </c>
      <c r="C29" s="68">
        <v>46162</v>
      </c>
      <c r="D29" s="69" t="s">
        <v>127</v>
      </c>
      <c r="E29" s="70"/>
      <c r="F29" s="70"/>
      <c r="G29" s="20"/>
      <c r="H29" s="70"/>
      <c r="I29" s="11">
        <f>I28+G29</f>
        <v>0</v>
      </c>
    </row>
    <row r="30" spans="2:13">
      <c r="B30" s="12">
        <v>21</v>
      </c>
      <c r="C30" s="68">
        <v>46163</v>
      </c>
      <c r="D30" s="69" t="s">
        <v>121</v>
      </c>
      <c r="E30" s="70"/>
      <c r="F30" s="70"/>
      <c r="G30" s="20"/>
      <c r="H30" s="70"/>
      <c r="I30" s="11">
        <f>I29+G30</f>
        <v>0</v>
      </c>
    </row>
    <row r="31" spans="2:13">
      <c r="B31" s="12">
        <v>22</v>
      </c>
      <c r="C31" s="68">
        <v>46164</v>
      </c>
      <c r="D31" s="69" t="s">
        <v>122</v>
      </c>
      <c r="E31" s="70"/>
      <c r="F31" s="70"/>
      <c r="G31" s="20"/>
      <c r="H31" s="70"/>
      <c r="I31" s="11">
        <f>I30+G31</f>
        <v>0</v>
      </c>
    </row>
    <row r="32" spans="2:13">
      <c r="B32" s="12">
        <v>23</v>
      </c>
      <c r="C32" s="71">
        <v>46165</v>
      </c>
      <c r="D32" s="72" t="s">
        <v>123</v>
      </c>
      <c r="E32" s="70"/>
      <c r="F32" s="70"/>
      <c r="G32" s="20"/>
      <c r="H32" s="70"/>
      <c r="I32" s="11">
        <f>I31+G32</f>
        <v>0</v>
      </c>
    </row>
    <row r="33" spans="2:9">
      <c r="B33" s="12">
        <v>24</v>
      </c>
      <c r="C33" s="71">
        <v>46166</v>
      </c>
      <c r="D33" s="72" t="s">
        <v>124</v>
      </c>
      <c r="E33" s="70"/>
      <c r="F33" s="70"/>
      <c r="G33" s="20"/>
      <c r="H33" s="70"/>
      <c r="I33" s="11">
        <f>I32+G33</f>
        <v>0</v>
      </c>
    </row>
    <row r="34" spans="2:9">
      <c r="B34" s="12">
        <v>25</v>
      </c>
      <c r="C34" s="68">
        <v>46167</v>
      </c>
      <c r="D34" s="69" t="s">
        <v>125</v>
      </c>
      <c r="E34" s="70"/>
      <c r="F34" s="70"/>
      <c r="G34" s="20"/>
      <c r="H34" s="70"/>
      <c r="I34" s="11">
        <f>I33+G34</f>
        <v>0</v>
      </c>
    </row>
    <row r="35" spans="2:9">
      <c r="B35" s="12">
        <v>26</v>
      </c>
      <c r="C35" s="68">
        <v>46168</v>
      </c>
      <c r="D35" s="69" t="s">
        <v>126</v>
      </c>
      <c r="E35" s="70"/>
      <c r="F35" s="70"/>
      <c r="G35" s="20"/>
      <c r="H35" s="70"/>
      <c r="I35" s="11">
        <f>I34+G35</f>
        <v>0</v>
      </c>
    </row>
    <row r="36" spans="2:9">
      <c r="B36" s="12">
        <v>27</v>
      </c>
      <c r="C36" s="68">
        <v>46169</v>
      </c>
      <c r="D36" s="69" t="s">
        <v>127</v>
      </c>
      <c r="E36" s="70"/>
      <c r="F36" s="70"/>
      <c r="G36" s="20"/>
      <c r="H36" s="70"/>
      <c r="I36" s="11">
        <f>I35+G36</f>
        <v>0</v>
      </c>
    </row>
    <row r="37" spans="2:9">
      <c r="B37" s="12">
        <v>28</v>
      </c>
      <c r="C37" s="68">
        <v>46170</v>
      </c>
      <c r="D37" s="69" t="s">
        <v>121</v>
      </c>
      <c r="E37" s="70"/>
      <c r="F37" s="70"/>
      <c r="G37" s="20"/>
      <c r="H37" s="70"/>
      <c r="I37" s="11">
        <f>I36+G37</f>
        <v>0</v>
      </c>
    </row>
    <row r="38" spans="2:9">
      <c r="B38" s="12">
        <v>29</v>
      </c>
      <c r="C38" s="68">
        <v>46171</v>
      </c>
      <c r="D38" s="69" t="s">
        <v>122</v>
      </c>
      <c r="E38" s="70"/>
      <c r="F38" s="70"/>
      <c r="G38" s="20"/>
      <c r="H38" s="70"/>
      <c r="I38" s="11">
        <f>I37+G38</f>
        <v>0</v>
      </c>
    </row>
    <row r="39" spans="2:9">
      <c r="B39" s="12">
        <v>30</v>
      </c>
      <c r="C39" s="71">
        <v>46172</v>
      </c>
      <c r="D39" s="72" t="s">
        <v>123</v>
      </c>
      <c r="E39" s="70"/>
      <c r="F39" s="70"/>
      <c r="G39" s="20"/>
      <c r="H39" s="70"/>
      <c r="I39" s="11">
        <f>I38+G39</f>
        <v>0</v>
      </c>
    </row>
    <row r="40" spans="2:9">
      <c r="B40" s="12">
        <v>31</v>
      </c>
      <c r="C40" s="71">
        <v>46173</v>
      </c>
      <c r="D40" s="72" t="s">
        <v>124</v>
      </c>
      <c r="E40" s="70"/>
      <c r="F40" s="70"/>
      <c r="G40" s="20"/>
      <c r="H40" s="70"/>
      <c r="I40" s="11">
        <f>I39+G40</f>
        <v>0</v>
      </c>
    </row>
    <row r="41" spans="2:9">
      <c r="F41" s="93" t="s">
        <v>128</v>
      </c>
      <c r="G41" s="94">
        <f>SUM(G10:G40)</f>
        <v>0</v>
      </c>
    </row>
  </sheetData>
  <mergeCells count="5">
    <mergeCell ref="B1:I1"/>
    <mergeCell ref="B2:I2"/>
    <mergeCell ref="B4:D4"/>
    <mergeCell ref="F4:I4"/>
    <mergeCell ref="K4:N4"/>
  </mergeCells>
  <conditionalFormatting sqref="E10:E40">
    <cfRule type="containsText" dxfId="3" priority="1" operator="containsText" text="Rent + Utilities">
      <formula>NOT(ISERROR(SEARCH("Rent + Utilities",E10)))</formula>
    </cfRule>
    <cfRule type="containsText" dxfId="4" priority="2" operator="containsText" text="Electricity Deposit">
      <formula>NOT(ISERROR(SEARCH("Electricity Deposit",E10)))</formula>
    </cfRule>
    <cfRule type="containsText" dxfId="5" priority="3" operator="containsText" text="Internet &amp; Phone Bills">
      <formula>NOT(ISERROR(SEARCH("Internet &amp; Phone Bills",E10)))</formula>
    </cfRule>
    <cfRule type="containsText" dxfId="6" priority="4" operator="containsText" text="Food &amp; Groceries">
      <formula>NOT(ISERROR(SEARCH("Food &amp; Groceries",E10)))</formula>
    </cfRule>
    <cfRule type="containsText" dxfId="7" priority="5" operator="containsText" text="Investments">
      <formula>NOT(ISERROR(SEARCH("Investments",E10)))</formula>
    </cfRule>
    <cfRule type="containsText" dxfId="8" priority="6" operator="containsText" text="Date Nights">
      <formula>NOT(ISERROR(SEARCH("Date Nights",E10)))</formula>
    </cfRule>
    <cfRule type="containsText" dxfId="9" priority="7" operator="containsText" text="Annual Costs Savings">
      <formula>NOT(ISERROR(SEARCH("Annual Costs Savings",E10)))</formula>
    </cfRule>
    <cfRule type="containsText" dxfId="10" priority="8" operator="containsText" text="Emergency Buffer">
      <formula>NOT(ISERROR(SEARCH("Emergency Buffer",E10)))</formula>
    </cfRule>
    <cfRule type="containsText" dxfId="11" priority="9" operator="containsText" text="Personal Care">
      <formula>NOT(ISERROR(SEARCH("Personal Care",E10)))</formula>
    </cfRule>
    <cfRule type="containsText" dxfId="12" priority="10" operator="containsText" text="Personal Savings">
      <formula>NOT(ISERROR(SEARCH("Personal Savings",E10)))</formula>
    </cfRule>
    <cfRule type="containsText" dxfId="13" priority="11" operator="containsText" text="Miscellaneous">
      <formula>NOT(ISERROR(SEARCH("Miscellaneous",E10)))</formula>
    </cfRule>
  </conditionalFormatting>
  <conditionalFormatting sqref="N10">
    <cfRule type="containsText" dxfId="0" priority="24" operator="containsText" text="OVER">
      <formula>NOT(ISERROR(SEARCH("OVER",N10)))</formula>
    </cfRule>
    <cfRule type="containsText" dxfId="1" priority="25" operator="containsText" text="WARN">
      <formula>NOT(ISERROR(SEARCH("WARN",N10)))</formula>
    </cfRule>
    <cfRule type="containsText" dxfId="2" priority="26" operator="containsText" text="OK">
      <formula>NOT(ISERROR(SEARCH("OK",N10)))</formula>
    </cfRule>
  </conditionalFormatting>
  <conditionalFormatting sqref="N11">
    <cfRule type="containsText" dxfId="0" priority="27" operator="containsText" text="OVER">
      <formula>NOT(ISERROR(SEARCH("OVER",N11)))</formula>
    </cfRule>
    <cfRule type="containsText" dxfId="1" priority="28" operator="containsText" text="WARN">
      <formula>NOT(ISERROR(SEARCH("WARN",N11)))</formula>
    </cfRule>
    <cfRule type="containsText" dxfId="2" priority="29" operator="containsText" text="OK">
      <formula>NOT(ISERROR(SEARCH("OK",N11)))</formula>
    </cfRule>
  </conditionalFormatting>
  <conditionalFormatting sqref="N12">
    <cfRule type="containsText" dxfId="0" priority="30" operator="containsText" text="OVER">
      <formula>NOT(ISERROR(SEARCH("OVER",N12)))</formula>
    </cfRule>
    <cfRule type="containsText" dxfId="1" priority="31" operator="containsText" text="WARN">
      <formula>NOT(ISERROR(SEARCH("WARN",N12)))</formula>
    </cfRule>
    <cfRule type="containsText" dxfId="2" priority="32" operator="containsText" text="OK">
      <formula>NOT(ISERROR(SEARCH("OK",N12)))</formula>
    </cfRule>
  </conditionalFormatting>
  <conditionalFormatting sqref="N13">
    <cfRule type="containsText" dxfId="0" priority="33" operator="containsText" text="OVER">
      <formula>NOT(ISERROR(SEARCH("OVER",N13)))</formula>
    </cfRule>
    <cfRule type="containsText" dxfId="1" priority="34" operator="containsText" text="WARN">
      <formula>NOT(ISERROR(SEARCH("WARN",N13)))</formula>
    </cfRule>
    <cfRule type="containsText" dxfId="2" priority="35" operator="containsText" text="OK">
      <formula>NOT(ISERROR(SEARCH("OK",N13)))</formula>
    </cfRule>
  </conditionalFormatting>
  <conditionalFormatting sqref="N14">
    <cfRule type="containsText" dxfId="0" priority="36" operator="containsText" text="OVER">
      <formula>NOT(ISERROR(SEARCH("OVER",N14)))</formula>
    </cfRule>
    <cfRule type="containsText" dxfId="1" priority="37" operator="containsText" text="WARN">
      <formula>NOT(ISERROR(SEARCH("WARN",N14)))</formula>
    </cfRule>
    <cfRule type="containsText" dxfId="2" priority="38" operator="containsText" text="OK">
      <formula>NOT(ISERROR(SEARCH("OK",N14)))</formula>
    </cfRule>
  </conditionalFormatting>
  <conditionalFormatting sqref="N15">
    <cfRule type="containsText" dxfId="0" priority="39" operator="containsText" text="OVER">
      <formula>NOT(ISERROR(SEARCH("OVER",N15)))</formula>
    </cfRule>
    <cfRule type="containsText" dxfId="1" priority="40" operator="containsText" text="WARN">
      <formula>NOT(ISERROR(SEARCH("WARN",N15)))</formula>
    </cfRule>
    <cfRule type="containsText" dxfId="2" priority="41" operator="containsText" text="OK">
      <formula>NOT(ISERROR(SEARCH("OK",N15)))</formula>
    </cfRule>
  </conditionalFormatting>
  <conditionalFormatting sqref="N16">
    <cfRule type="containsText" dxfId="0" priority="42" operator="containsText" text="OVER">
      <formula>NOT(ISERROR(SEARCH("OVER",N16)))</formula>
    </cfRule>
    <cfRule type="containsText" dxfId="1" priority="43" operator="containsText" text="WARN">
      <formula>NOT(ISERROR(SEARCH("WARN",N16)))</formula>
    </cfRule>
    <cfRule type="containsText" dxfId="2" priority="44" operator="containsText" text="OK">
      <formula>NOT(ISERROR(SEARCH("OK",N16)))</formula>
    </cfRule>
  </conditionalFormatting>
  <conditionalFormatting sqref="N6">
    <cfRule type="containsText" dxfId="0" priority="12" operator="containsText" text="OVER">
      <formula>NOT(ISERROR(SEARCH("OVER",N6)))</formula>
    </cfRule>
    <cfRule type="containsText" dxfId="1" priority="13" operator="containsText" text="WARN">
      <formula>NOT(ISERROR(SEARCH("WARN",N6)))</formula>
    </cfRule>
    <cfRule type="containsText" dxfId="2" priority="14" operator="containsText" text="OK">
      <formula>NOT(ISERROR(SEARCH("OK",N6)))</formula>
    </cfRule>
  </conditionalFormatting>
  <conditionalFormatting sqref="N7">
    <cfRule type="containsText" dxfId="0" priority="15" operator="containsText" text="OVER">
      <formula>NOT(ISERROR(SEARCH("OVER",N7)))</formula>
    </cfRule>
    <cfRule type="containsText" dxfId="1" priority="16" operator="containsText" text="WARN">
      <formula>NOT(ISERROR(SEARCH("WARN",N7)))</formula>
    </cfRule>
    <cfRule type="containsText" dxfId="2" priority="17" operator="containsText" text="OK">
      <formula>NOT(ISERROR(SEARCH("OK",N7)))</formula>
    </cfRule>
  </conditionalFormatting>
  <conditionalFormatting sqref="N8">
    <cfRule type="containsText" dxfId="0" priority="18" operator="containsText" text="OVER">
      <formula>NOT(ISERROR(SEARCH("OVER",N8)))</formula>
    </cfRule>
    <cfRule type="containsText" dxfId="1" priority="19" operator="containsText" text="WARN">
      <formula>NOT(ISERROR(SEARCH("WARN",N8)))</formula>
    </cfRule>
    <cfRule type="containsText" dxfId="2" priority="20" operator="containsText" text="OK">
      <formula>NOT(ISERROR(SEARCH("OK",N8)))</formula>
    </cfRule>
  </conditionalFormatting>
  <conditionalFormatting sqref="N9">
    <cfRule type="containsText" dxfId="0" priority="21" operator="containsText" text="OVER">
      <formula>NOT(ISERROR(SEARCH("OVER",N9)))</formula>
    </cfRule>
    <cfRule type="containsText" dxfId="1" priority="22" operator="containsText" text="WARN">
      <formula>NOT(ISERROR(SEARCH("WARN",N9)))</formula>
    </cfRule>
    <cfRule type="containsText" dxfId="2" priority="23" operator="containsText" text="OK">
      <formula>NOT(ISERROR(SEARCH("OK",N9)))</formula>
    </cfRule>
  </conditionalFormatting>
  <dataValidations count="63">
    <dataValidation type="list" allowBlank="1" showInputMessage="1" showErrorMessage="1" sqref="I6">
      <formula1>"CZK,USD,EUR,NGN"</formula1>
    </dataValidation>
    <dataValidation type="list" allowBlank="1" showInputMessage="1" showErrorMessage="1" sqref="E1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0">
      <formula1>"Cash,Card,Transfer,Online"</formula1>
    </dataValidation>
    <dataValidation type="list" allowBlank="1" showInputMessage="1" showErrorMessage="1" sqref="E1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1">
      <formula1>"Cash,Card,Transfer,Online"</formula1>
    </dataValidation>
    <dataValidation type="list" allowBlank="1" showInputMessage="1" showErrorMessage="1" sqref="E1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2">
      <formula1>"Cash,Card,Transfer,Online"</formula1>
    </dataValidation>
    <dataValidation type="list" allowBlank="1" showInputMessage="1" showErrorMessage="1" sqref="E1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3">
      <formula1>"Cash,Card,Transfer,Online"</formula1>
    </dataValidation>
    <dataValidation type="list" allowBlank="1" showInputMessage="1" showErrorMessage="1" sqref="E1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4">
      <formula1>"Cash,Card,Transfer,Online"</formula1>
    </dataValidation>
    <dataValidation type="list" allowBlank="1" showInputMessage="1" showErrorMessage="1" sqref="E1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5">
      <formula1>"Cash,Card,Transfer,Online"</formula1>
    </dataValidation>
    <dataValidation type="list" allowBlank="1" showInputMessage="1" showErrorMessage="1" sqref="E1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6">
      <formula1>"Cash,Card,Transfer,Online"</formula1>
    </dataValidation>
    <dataValidation type="list" allowBlank="1" showInputMessage="1" showErrorMessage="1" sqref="E1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7">
      <formula1>"Cash,Card,Transfer,Online"</formula1>
    </dataValidation>
    <dataValidation type="list" allowBlank="1" showInputMessage="1" showErrorMessage="1" sqref="E1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8">
      <formula1>"Cash,Card,Transfer,Online"</formula1>
    </dataValidation>
    <dataValidation type="list" allowBlank="1" showInputMessage="1" showErrorMessage="1" sqref="E1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9">
      <formula1>"Cash,Card,Transfer,Online"</formula1>
    </dataValidation>
    <dataValidation type="list" allowBlank="1" showInputMessage="1" showErrorMessage="1" sqref="E2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0">
      <formula1>"Cash,Card,Transfer,Online"</formula1>
    </dataValidation>
    <dataValidation type="list" allowBlank="1" showInputMessage="1" showErrorMessage="1" sqref="E2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1">
      <formula1>"Cash,Card,Transfer,Online"</formula1>
    </dataValidation>
    <dataValidation type="list" allowBlank="1" showInputMessage="1" showErrorMessage="1" sqref="E2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2">
      <formula1>"Cash,Card,Transfer,Online"</formula1>
    </dataValidation>
    <dataValidation type="list" allowBlank="1" showInputMessage="1" showErrorMessage="1" sqref="E2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3">
      <formula1>"Cash,Card,Transfer,Online"</formula1>
    </dataValidation>
    <dataValidation type="list" allowBlank="1" showInputMessage="1" showErrorMessage="1" sqref="E2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4">
      <formula1>"Cash,Card,Transfer,Online"</formula1>
    </dataValidation>
    <dataValidation type="list" allowBlank="1" showInputMessage="1" showErrorMessage="1" sqref="E2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5">
      <formula1>"Cash,Card,Transfer,Online"</formula1>
    </dataValidation>
    <dataValidation type="list" allowBlank="1" showInputMessage="1" showErrorMessage="1" sqref="E2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6">
      <formula1>"Cash,Card,Transfer,Online"</formula1>
    </dataValidation>
    <dataValidation type="list" allowBlank="1" showInputMessage="1" showErrorMessage="1" sqref="E2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7">
      <formula1>"Cash,Card,Transfer,Online"</formula1>
    </dataValidation>
    <dataValidation type="list" allowBlank="1" showInputMessage="1" showErrorMessage="1" sqref="E2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8">
      <formula1>"Cash,Card,Transfer,Online"</formula1>
    </dataValidation>
    <dataValidation type="list" allowBlank="1" showInputMessage="1" showErrorMessage="1" sqref="E2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9">
      <formula1>"Cash,Card,Transfer,Online"</formula1>
    </dataValidation>
    <dataValidation type="list" allowBlank="1" showInputMessage="1" showErrorMessage="1" sqref="E3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0">
      <formula1>"Cash,Card,Transfer,Online"</formula1>
    </dataValidation>
    <dataValidation type="list" allowBlank="1" showInputMessage="1" showErrorMessage="1" sqref="E3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1">
      <formula1>"Cash,Card,Transfer,Online"</formula1>
    </dataValidation>
    <dataValidation type="list" allowBlank="1" showInputMessage="1" showErrorMessage="1" sqref="E3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2">
      <formula1>"Cash,Card,Transfer,Online"</formula1>
    </dataValidation>
    <dataValidation type="list" allowBlank="1" showInputMessage="1" showErrorMessage="1" sqref="E3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3">
      <formula1>"Cash,Card,Transfer,Online"</formula1>
    </dataValidation>
    <dataValidation type="list" allowBlank="1" showInputMessage="1" showErrorMessage="1" sqref="E3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4">
      <formula1>"Cash,Card,Transfer,Online"</formula1>
    </dataValidation>
    <dataValidation type="list" allowBlank="1" showInputMessage="1" showErrorMessage="1" sqref="E3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5">
      <formula1>"Cash,Card,Transfer,Online"</formula1>
    </dataValidation>
    <dataValidation type="list" allowBlank="1" showInputMessage="1" showErrorMessage="1" sqref="E3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6">
      <formula1>"Cash,Card,Transfer,Online"</formula1>
    </dataValidation>
    <dataValidation type="list" allowBlank="1" showInputMessage="1" showErrorMessage="1" sqref="E3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7">
      <formula1>"Cash,Card,Transfer,Online"</formula1>
    </dataValidation>
    <dataValidation type="list" allowBlank="1" showInputMessage="1" showErrorMessage="1" sqref="E3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8">
      <formula1>"Cash,Card,Transfer,Online"</formula1>
    </dataValidation>
    <dataValidation type="list" allowBlank="1" showInputMessage="1" showErrorMessage="1" sqref="E3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9">
      <formula1>"Cash,Card,Transfer,Online"</formula1>
    </dataValidation>
    <dataValidation type="list" allowBlank="1" showInputMessage="1" showErrorMessage="1" sqref="E4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40">
      <formula1>"Cash,Card,Transfer,Online"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BCD4"/>
  </sheetPr>
  <dimension ref="B1:N40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/>
  <cols>
    <col min="1" max="1" width="5.7109375" customWidth="1"/>
    <col min="2" max="2" width="6.7109375" customWidth="1"/>
    <col min="3" max="3" width="14.7109375" customWidth="1"/>
    <col min="4" max="4" width="12.7109375" customWidth="1"/>
    <col min="5" max="5" width="28.7109375" customWidth="1"/>
    <col min="6" max="6" width="38.7109375" customWidth="1"/>
    <col min="7" max="7" width="20.7109375" customWidth="1"/>
    <col min="8" max="8" width="16.7109375" customWidth="1"/>
    <col min="9" max="9" width="20.7109375" customWidth="1"/>
    <col min="11" max="11" width="28.7109375" customWidth="1"/>
    <col min="12" max="13" width="18.7109375" customWidth="1"/>
    <col min="14" max="14" width="14.7109375" customWidth="1"/>
  </cols>
  <sheetData>
    <row r="1" spans="2:14" ht="45" customHeight="1">
      <c r="B1" s="95" t="s">
        <v>142</v>
      </c>
      <c r="C1" s="95"/>
      <c r="D1" s="95"/>
      <c r="E1" s="95"/>
      <c r="F1" s="95"/>
      <c r="G1" s="95"/>
      <c r="H1" s="95"/>
      <c r="I1" s="95"/>
    </row>
    <row r="2" spans="2:14">
      <c r="B2" s="96" t="s">
        <v>143</v>
      </c>
      <c r="C2" s="96"/>
      <c r="D2" s="96"/>
      <c r="E2" s="96"/>
      <c r="F2" s="96"/>
      <c r="G2" s="96"/>
      <c r="H2" s="96"/>
      <c r="I2" s="96"/>
    </row>
    <row r="4" spans="2:14">
      <c r="B4" s="97" t="s">
        <v>108</v>
      </c>
      <c r="C4" s="97"/>
      <c r="D4" s="97"/>
      <c r="F4" s="97" t="s">
        <v>112</v>
      </c>
      <c r="G4" s="97"/>
      <c r="H4" s="97"/>
      <c r="I4" s="97"/>
      <c r="K4" s="97" t="s">
        <v>144</v>
      </c>
      <c r="L4" s="97"/>
      <c r="M4" s="97"/>
      <c r="N4" s="97"/>
    </row>
    <row r="5" spans="2:14">
      <c r="B5" s="1" t="s">
        <v>109</v>
      </c>
      <c r="C5" s="20">
        <v>0</v>
      </c>
      <c r="F5" s="1" t="s">
        <v>113</v>
      </c>
      <c r="G5" s="11">
        <v>60000</v>
      </c>
      <c r="H5" s="1" t="s">
        <v>114</v>
      </c>
      <c r="I5" s="66">
        <f>Dashboard!$N$2</f>
        <v>0</v>
      </c>
      <c r="K5" s="9" t="s">
        <v>31</v>
      </c>
      <c r="L5" s="9" t="s">
        <v>32</v>
      </c>
      <c r="M5" s="9" t="s">
        <v>33</v>
      </c>
      <c r="N5" s="9" t="s">
        <v>34</v>
      </c>
    </row>
    <row r="6" spans="2:14">
      <c r="B6" s="1" t="s">
        <v>110</v>
      </c>
      <c r="C6" s="20">
        <v>0</v>
      </c>
      <c r="F6" s="1" t="s">
        <v>92</v>
      </c>
      <c r="G6" s="20">
        <v>0</v>
      </c>
      <c r="H6" s="1" t="s">
        <v>114</v>
      </c>
      <c r="I6" s="67" t="s">
        <v>5</v>
      </c>
      <c r="K6" s="24" t="s">
        <v>36</v>
      </c>
      <c r="L6" s="11">
        <f>'Monthly Budget'!D3</f>
        <v>0</v>
      </c>
      <c r="M6" s="11">
        <f>SUMIF(E:E,K6,G:G)</f>
        <v>0</v>
      </c>
      <c r="N6" s="12">
        <f>IF(M6&gt;L6,"OVER",IF(M6&gt;L6*0.9,"WARN","OK"))</f>
        <v>0</v>
      </c>
    </row>
    <row r="7" spans="2:14">
      <c r="B7" s="1" t="s">
        <v>111</v>
      </c>
      <c r="C7" s="22">
        <f>C6-C5</f>
        <v>0</v>
      </c>
      <c r="F7" s="1" t="s">
        <v>93</v>
      </c>
      <c r="G7" s="22">
        <f>G5+G6</f>
        <v>0</v>
      </c>
      <c r="K7" s="25" t="s">
        <v>37</v>
      </c>
      <c r="L7" s="11">
        <f>'Monthly Budget'!D4</f>
        <v>0</v>
      </c>
      <c r="M7" s="11">
        <f>SUMIF(E:E,K7,G:G)</f>
        <v>0</v>
      </c>
      <c r="N7" s="12">
        <f>IF(M7&gt;L7,"OVER",IF(M7&gt;L7*0.9,"WARN","OK"))</f>
        <v>0</v>
      </c>
    </row>
    <row r="8" spans="2:14">
      <c r="K8" s="27" t="s">
        <v>38</v>
      </c>
      <c r="L8" s="11">
        <f>'Monthly Budget'!D5</f>
        <v>0</v>
      </c>
      <c r="M8" s="11">
        <f>SUMIF(E:E,K8,G:G)</f>
        <v>0</v>
      </c>
      <c r="N8" s="12">
        <f>IF(M8&gt;L8,"OVER",IF(M8&gt;L8*0.9,"WARN","OK"))</f>
        <v>0</v>
      </c>
    </row>
    <row r="9" spans="2:14">
      <c r="B9" s="97" t="s">
        <v>95</v>
      </c>
      <c r="C9" s="97" t="s">
        <v>115</v>
      </c>
      <c r="D9" s="97" t="s">
        <v>116</v>
      </c>
      <c r="E9" s="97" t="s">
        <v>31</v>
      </c>
      <c r="F9" s="97" t="s">
        <v>117</v>
      </c>
      <c r="G9" s="97" t="s">
        <v>118</v>
      </c>
      <c r="H9" s="97" t="s">
        <v>119</v>
      </c>
      <c r="I9" s="97" t="s">
        <v>120</v>
      </c>
      <c r="K9" s="29" t="s">
        <v>39</v>
      </c>
      <c r="L9" s="11">
        <f>'Monthly Budget'!D6</f>
        <v>0</v>
      </c>
      <c r="M9" s="11">
        <f>SUMIF(E:E,K9,G:G)</f>
        <v>0</v>
      </c>
      <c r="N9" s="12">
        <f>IF(M9&gt;L9,"OVER",IF(M9&gt;L9*0.9,"WARN","OK"))</f>
        <v>0</v>
      </c>
    </row>
    <row r="10" spans="2:14">
      <c r="B10" s="12">
        <v>1</v>
      </c>
      <c r="C10" s="68">
        <v>46174</v>
      </c>
      <c r="D10" s="69" t="s">
        <v>125</v>
      </c>
      <c r="E10" s="70"/>
      <c r="F10" s="70"/>
      <c r="G10" s="20"/>
      <c r="H10" s="70"/>
      <c r="I10" s="11">
        <f>G10</f>
        <v>0</v>
      </c>
      <c r="K10" s="30" t="s">
        <v>40</v>
      </c>
      <c r="L10" s="11">
        <f>'Monthly Budget'!D7</f>
        <v>0</v>
      </c>
      <c r="M10" s="11">
        <f>SUMIF(E:E,K10,G:G)</f>
        <v>0</v>
      </c>
      <c r="N10" s="12">
        <f>IF(M10&gt;L10,"OVER",IF(M10&gt;L10*0.9,"WARN","OK"))</f>
        <v>0</v>
      </c>
    </row>
    <row r="11" spans="2:14">
      <c r="B11" s="12">
        <v>2</v>
      </c>
      <c r="C11" s="68">
        <v>46175</v>
      </c>
      <c r="D11" s="69" t="s">
        <v>126</v>
      </c>
      <c r="E11" s="70"/>
      <c r="F11" s="70"/>
      <c r="G11" s="20"/>
      <c r="H11" s="70"/>
      <c r="I11" s="11">
        <f>I10+G11</f>
        <v>0</v>
      </c>
      <c r="K11" s="31" t="s">
        <v>41</v>
      </c>
      <c r="L11" s="11">
        <f>'Monthly Budget'!D8</f>
        <v>0</v>
      </c>
      <c r="M11" s="11">
        <f>SUMIF(E:E,K11,G:G)</f>
        <v>0</v>
      </c>
      <c r="N11" s="12">
        <f>IF(M11&gt;L11,"OVER",IF(M11&gt;L11*0.9,"WARN","OK"))</f>
        <v>0</v>
      </c>
    </row>
    <row r="12" spans="2:14">
      <c r="B12" s="12">
        <v>3</v>
      </c>
      <c r="C12" s="68">
        <v>46176</v>
      </c>
      <c r="D12" s="69" t="s">
        <v>127</v>
      </c>
      <c r="E12" s="70"/>
      <c r="F12" s="70"/>
      <c r="G12" s="20"/>
      <c r="H12" s="70"/>
      <c r="I12" s="11">
        <f>I11+G12</f>
        <v>0</v>
      </c>
      <c r="K12" s="33" t="s">
        <v>42</v>
      </c>
      <c r="L12" s="11">
        <f>'Monthly Budget'!D9</f>
        <v>0</v>
      </c>
      <c r="M12" s="11">
        <f>SUMIF(E:E,K12,G:G)</f>
        <v>0</v>
      </c>
      <c r="N12" s="12">
        <f>IF(M12&gt;L12,"OVER",IF(M12&gt;L12*0.9,"WARN","OK"))</f>
        <v>0</v>
      </c>
    </row>
    <row r="13" spans="2:14">
      <c r="B13" s="12">
        <v>4</v>
      </c>
      <c r="C13" s="68">
        <v>46177</v>
      </c>
      <c r="D13" s="69" t="s">
        <v>121</v>
      </c>
      <c r="E13" s="70"/>
      <c r="F13" s="70"/>
      <c r="G13" s="20"/>
      <c r="H13" s="70"/>
      <c r="I13" s="11">
        <f>I12+G13</f>
        <v>0</v>
      </c>
      <c r="K13" s="38" t="s">
        <v>43</v>
      </c>
      <c r="L13" s="11">
        <f>'Monthly Budget'!D10</f>
        <v>0</v>
      </c>
      <c r="M13" s="11">
        <f>SUMIF(E:E,K13,G:G)</f>
        <v>0</v>
      </c>
      <c r="N13" s="12">
        <f>IF(M13&gt;L13,"OVER",IF(M13&gt;L13*0.9,"WARN","OK"))</f>
        <v>0</v>
      </c>
    </row>
    <row r="14" spans="2:14">
      <c r="B14" s="12">
        <v>5</v>
      </c>
      <c r="C14" s="68">
        <v>46178</v>
      </c>
      <c r="D14" s="69" t="s">
        <v>122</v>
      </c>
      <c r="E14" s="70"/>
      <c r="F14" s="70"/>
      <c r="G14" s="20"/>
      <c r="H14" s="70"/>
      <c r="I14" s="11">
        <f>I13+G14</f>
        <v>0</v>
      </c>
      <c r="K14" s="59" t="s">
        <v>83</v>
      </c>
      <c r="L14" s="11">
        <f>'Monthly Budget'!D11</f>
        <v>0</v>
      </c>
      <c r="M14" s="11">
        <f>SUMIF(E:E,K14,G:G)</f>
        <v>0</v>
      </c>
      <c r="N14" s="12">
        <f>IF(M14&gt;L14,"OVER",IF(M14&gt;L14*0.9,"WARN","OK"))</f>
        <v>0</v>
      </c>
    </row>
    <row r="15" spans="2:14">
      <c r="B15" s="12">
        <v>6</v>
      </c>
      <c r="C15" s="71">
        <v>46179</v>
      </c>
      <c r="D15" s="72" t="s">
        <v>123</v>
      </c>
      <c r="E15" s="70"/>
      <c r="F15" s="70"/>
      <c r="G15" s="20"/>
      <c r="H15" s="70"/>
      <c r="I15" s="11">
        <f>I14+G15</f>
        <v>0</v>
      </c>
      <c r="K15" s="60" t="s">
        <v>84</v>
      </c>
      <c r="L15" s="11">
        <f>'Monthly Budget'!D12</f>
        <v>0</v>
      </c>
      <c r="M15" s="11">
        <f>SUMIF(E:E,K15,G:G)</f>
        <v>0</v>
      </c>
      <c r="N15" s="12">
        <f>IF(M15&gt;L15,"OVER",IF(M15&gt;L15*0.9,"WARN","OK"))</f>
        <v>0</v>
      </c>
    </row>
    <row r="16" spans="2:14">
      <c r="B16" s="12">
        <v>7</v>
      </c>
      <c r="C16" s="71">
        <v>46180</v>
      </c>
      <c r="D16" s="72" t="s">
        <v>124</v>
      </c>
      <c r="E16" s="70"/>
      <c r="F16" s="70"/>
      <c r="G16" s="20"/>
      <c r="H16" s="70"/>
      <c r="I16" s="11">
        <f>I15+G16</f>
        <v>0</v>
      </c>
      <c r="K16" s="61" t="s">
        <v>85</v>
      </c>
      <c r="L16" s="11">
        <f>'Monthly Budget'!D13</f>
        <v>0</v>
      </c>
      <c r="M16" s="11">
        <f>SUMIF(E:E,K16,G:G)</f>
        <v>0</v>
      </c>
      <c r="N16" s="12">
        <f>IF(M16&gt;L16,"OVER",IF(M16&gt;L16*0.9,"WARN","OK"))</f>
        <v>0</v>
      </c>
    </row>
    <row r="17" spans="2:13">
      <c r="B17" s="12">
        <v>8</v>
      </c>
      <c r="C17" s="68">
        <v>46181</v>
      </c>
      <c r="D17" s="69" t="s">
        <v>125</v>
      </c>
      <c r="E17" s="70"/>
      <c r="F17" s="70"/>
      <c r="G17" s="20"/>
      <c r="H17" s="70"/>
      <c r="I17" s="11">
        <f>I16+G17</f>
        <v>0</v>
      </c>
      <c r="K17" s="52" t="s">
        <v>65</v>
      </c>
      <c r="L17" s="22">
        <f>SUM(L6:L16)</f>
        <v>0</v>
      </c>
      <c r="M17" s="22">
        <f>SUM(M6:M16)</f>
        <v>0</v>
      </c>
    </row>
    <row r="18" spans="2:13">
      <c r="B18" s="12">
        <v>9</v>
      </c>
      <c r="C18" s="68">
        <v>46182</v>
      </c>
      <c r="D18" s="69" t="s">
        <v>126</v>
      </c>
      <c r="E18" s="70"/>
      <c r="F18" s="70"/>
      <c r="G18" s="20"/>
      <c r="H18" s="70"/>
      <c r="I18" s="11">
        <f>I17+G18</f>
        <v>0</v>
      </c>
    </row>
    <row r="19" spans="2:13">
      <c r="B19" s="12">
        <v>10</v>
      </c>
      <c r="C19" s="68">
        <v>46183</v>
      </c>
      <c r="D19" s="69" t="s">
        <v>127</v>
      </c>
      <c r="E19" s="70"/>
      <c r="F19" s="70"/>
      <c r="G19" s="20"/>
      <c r="H19" s="70"/>
      <c r="I19" s="11">
        <f>I18+G19</f>
        <v>0</v>
      </c>
    </row>
    <row r="20" spans="2:13">
      <c r="B20" s="12">
        <v>11</v>
      </c>
      <c r="C20" s="68">
        <v>46184</v>
      </c>
      <c r="D20" s="69" t="s">
        <v>121</v>
      </c>
      <c r="E20" s="70"/>
      <c r="F20" s="70"/>
      <c r="G20" s="20"/>
      <c r="H20" s="70"/>
      <c r="I20" s="11">
        <f>I19+G20</f>
        <v>0</v>
      </c>
    </row>
    <row r="21" spans="2:13">
      <c r="B21" s="12">
        <v>12</v>
      </c>
      <c r="C21" s="68">
        <v>46185</v>
      </c>
      <c r="D21" s="69" t="s">
        <v>122</v>
      </c>
      <c r="E21" s="70"/>
      <c r="F21" s="70"/>
      <c r="G21" s="20"/>
      <c r="H21" s="70"/>
      <c r="I21" s="11">
        <f>I20+G21</f>
        <v>0</v>
      </c>
    </row>
    <row r="22" spans="2:13">
      <c r="B22" s="12">
        <v>13</v>
      </c>
      <c r="C22" s="71">
        <v>46186</v>
      </c>
      <c r="D22" s="72" t="s">
        <v>123</v>
      </c>
      <c r="E22" s="70"/>
      <c r="F22" s="70"/>
      <c r="G22" s="20"/>
      <c r="H22" s="70"/>
      <c r="I22" s="11">
        <f>I21+G22</f>
        <v>0</v>
      </c>
    </row>
    <row r="23" spans="2:13">
      <c r="B23" s="12">
        <v>14</v>
      </c>
      <c r="C23" s="71">
        <v>46187</v>
      </c>
      <c r="D23" s="72" t="s">
        <v>124</v>
      </c>
      <c r="E23" s="70"/>
      <c r="F23" s="70"/>
      <c r="G23" s="20"/>
      <c r="H23" s="70"/>
      <c r="I23" s="11">
        <f>I22+G23</f>
        <v>0</v>
      </c>
    </row>
    <row r="24" spans="2:13">
      <c r="B24" s="12">
        <v>15</v>
      </c>
      <c r="C24" s="68">
        <v>46188</v>
      </c>
      <c r="D24" s="69" t="s">
        <v>125</v>
      </c>
      <c r="E24" s="70"/>
      <c r="F24" s="70"/>
      <c r="G24" s="20"/>
      <c r="H24" s="70"/>
      <c r="I24" s="11">
        <f>I23+G24</f>
        <v>0</v>
      </c>
    </row>
    <row r="25" spans="2:13">
      <c r="B25" s="12">
        <v>16</v>
      </c>
      <c r="C25" s="68">
        <v>46189</v>
      </c>
      <c r="D25" s="69" t="s">
        <v>126</v>
      </c>
      <c r="E25" s="70"/>
      <c r="F25" s="70"/>
      <c r="G25" s="20"/>
      <c r="H25" s="70"/>
      <c r="I25" s="11">
        <f>I24+G25</f>
        <v>0</v>
      </c>
    </row>
    <row r="26" spans="2:13">
      <c r="B26" s="12">
        <v>17</v>
      </c>
      <c r="C26" s="68">
        <v>46190</v>
      </c>
      <c r="D26" s="69" t="s">
        <v>127</v>
      </c>
      <c r="E26" s="70"/>
      <c r="F26" s="70"/>
      <c r="G26" s="20"/>
      <c r="H26" s="70"/>
      <c r="I26" s="11">
        <f>I25+G26</f>
        <v>0</v>
      </c>
    </row>
    <row r="27" spans="2:13">
      <c r="B27" s="12">
        <v>18</v>
      </c>
      <c r="C27" s="68">
        <v>46191</v>
      </c>
      <c r="D27" s="69" t="s">
        <v>121</v>
      </c>
      <c r="E27" s="70"/>
      <c r="F27" s="70"/>
      <c r="G27" s="20"/>
      <c r="H27" s="70"/>
      <c r="I27" s="11">
        <f>I26+G27</f>
        <v>0</v>
      </c>
    </row>
    <row r="28" spans="2:13">
      <c r="B28" s="12">
        <v>19</v>
      </c>
      <c r="C28" s="68">
        <v>46192</v>
      </c>
      <c r="D28" s="69" t="s">
        <v>122</v>
      </c>
      <c r="E28" s="70"/>
      <c r="F28" s="70"/>
      <c r="G28" s="20"/>
      <c r="H28" s="70"/>
      <c r="I28" s="11">
        <f>I27+G28</f>
        <v>0</v>
      </c>
    </row>
    <row r="29" spans="2:13">
      <c r="B29" s="12">
        <v>20</v>
      </c>
      <c r="C29" s="71">
        <v>46193</v>
      </c>
      <c r="D29" s="72" t="s">
        <v>123</v>
      </c>
      <c r="E29" s="70"/>
      <c r="F29" s="70"/>
      <c r="G29" s="20"/>
      <c r="H29" s="70"/>
      <c r="I29" s="11">
        <f>I28+G29</f>
        <v>0</v>
      </c>
    </row>
    <row r="30" spans="2:13">
      <c r="B30" s="12">
        <v>21</v>
      </c>
      <c r="C30" s="71">
        <v>46194</v>
      </c>
      <c r="D30" s="72" t="s">
        <v>124</v>
      </c>
      <c r="E30" s="70"/>
      <c r="F30" s="70"/>
      <c r="G30" s="20"/>
      <c r="H30" s="70"/>
      <c r="I30" s="11">
        <f>I29+G30</f>
        <v>0</v>
      </c>
    </row>
    <row r="31" spans="2:13">
      <c r="B31" s="12">
        <v>22</v>
      </c>
      <c r="C31" s="68">
        <v>46195</v>
      </c>
      <c r="D31" s="69" t="s">
        <v>125</v>
      </c>
      <c r="E31" s="70"/>
      <c r="F31" s="70"/>
      <c r="G31" s="20"/>
      <c r="H31" s="70"/>
      <c r="I31" s="11">
        <f>I30+G31</f>
        <v>0</v>
      </c>
    </row>
    <row r="32" spans="2:13">
      <c r="B32" s="12">
        <v>23</v>
      </c>
      <c r="C32" s="68">
        <v>46196</v>
      </c>
      <c r="D32" s="69" t="s">
        <v>126</v>
      </c>
      <c r="E32" s="70"/>
      <c r="F32" s="70"/>
      <c r="G32" s="20"/>
      <c r="H32" s="70"/>
      <c r="I32" s="11">
        <f>I31+G32</f>
        <v>0</v>
      </c>
    </row>
    <row r="33" spans="2:9">
      <c r="B33" s="12">
        <v>24</v>
      </c>
      <c r="C33" s="68">
        <v>46197</v>
      </c>
      <c r="D33" s="69" t="s">
        <v>127</v>
      </c>
      <c r="E33" s="70"/>
      <c r="F33" s="70"/>
      <c r="G33" s="20"/>
      <c r="H33" s="70"/>
      <c r="I33" s="11">
        <f>I32+G33</f>
        <v>0</v>
      </c>
    </row>
    <row r="34" spans="2:9">
      <c r="B34" s="12">
        <v>25</v>
      </c>
      <c r="C34" s="68">
        <v>46198</v>
      </c>
      <c r="D34" s="69" t="s">
        <v>121</v>
      </c>
      <c r="E34" s="70"/>
      <c r="F34" s="70"/>
      <c r="G34" s="20"/>
      <c r="H34" s="70"/>
      <c r="I34" s="11">
        <f>I33+G34</f>
        <v>0</v>
      </c>
    </row>
    <row r="35" spans="2:9">
      <c r="B35" s="12">
        <v>26</v>
      </c>
      <c r="C35" s="68">
        <v>46199</v>
      </c>
      <c r="D35" s="69" t="s">
        <v>122</v>
      </c>
      <c r="E35" s="70"/>
      <c r="F35" s="70"/>
      <c r="G35" s="20"/>
      <c r="H35" s="70"/>
      <c r="I35" s="11">
        <f>I34+G35</f>
        <v>0</v>
      </c>
    </row>
    <row r="36" spans="2:9">
      <c r="B36" s="12">
        <v>27</v>
      </c>
      <c r="C36" s="71">
        <v>46200</v>
      </c>
      <c r="D36" s="72" t="s">
        <v>123</v>
      </c>
      <c r="E36" s="70"/>
      <c r="F36" s="70"/>
      <c r="G36" s="20"/>
      <c r="H36" s="70"/>
      <c r="I36" s="11">
        <f>I35+G36</f>
        <v>0</v>
      </c>
    </row>
    <row r="37" spans="2:9">
      <c r="B37" s="12">
        <v>28</v>
      </c>
      <c r="C37" s="71">
        <v>46201</v>
      </c>
      <c r="D37" s="72" t="s">
        <v>124</v>
      </c>
      <c r="E37" s="70"/>
      <c r="F37" s="70"/>
      <c r="G37" s="20"/>
      <c r="H37" s="70"/>
      <c r="I37" s="11">
        <f>I36+G37</f>
        <v>0</v>
      </c>
    </row>
    <row r="38" spans="2:9">
      <c r="B38" s="12">
        <v>29</v>
      </c>
      <c r="C38" s="68">
        <v>46202</v>
      </c>
      <c r="D38" s="69" t="s">
        <v>125</v>
      </c>
      <c r="E38" s="70"/>
      <c r="F38" s="70"/>
      <c r="G38" s="20"/>
      <c r="H38" s="70"/>
      <c r="I38" s="11">
        <f>I37+G38</f>
        <v>0</v>
      </c>
    </row>
    <row r="39" spans="2:9">
      <c r="B39" s="12">
        <v>30</v>
      </c>
      <c r="C39" s="68">
        <v>46203</v>
      </c>
      <c r="D39" s="69" t="s">
        <v>126</v>
      </c>
      <c r="E39" s="70"/>
      <c r="F39" s="70"/>
      <c r="G39" s="20"/>
      <c r="H39" s="70"/>
      <c r="I39" s="11">
        <f>I38+G39</f>
        <v>0</v>
      </c>
    </row>
    <row r="40" spans="2:9">
      <c r="F40" s="98" t="s">
        <v>128</v>
      </c>
      <c r="G40" s="99">
        <f>SUM(G10:G39)</f>
        <v>0</v>
      </c>
    </row>
  </sheetData>
  <mergeCells count="5">
    <mergeCell ref="B1:I1"/>
    <mergeCell ref="B2:I2"/>
    <mergeCell ref="B4:D4"/>
    <mergeCell ref="F4:I4"/>
    <mergeCell ref="K4:N4"/>
  </mergeCells>
  <conditionalFormatting sqref="E10:E39">
    <cfRule type="containsText" dxfId="3" priority="1" operator="containsText" text="Rent + Utilities">
      <formula>NOT(ISERROR(SEARCH("Rent + Utilities",E10)))</formula>
    </cfRule>
    <cfRule type="containsText" dxfId="4" priority="2" operator="containsText" text="Electricity Deposit">
      <formula>NOT(ISERROR(SEARCH("Electricity Deposit",E10)))</formula>
    </cfRule>
    <cfRule type="containsText" dxfId="5" priority="3" operator="containsText" text="Internet &amp; Phone Bills">
      <formula>NOT(ISERROR(SEARCH("Internet &amp; Phone Bills",E10)))</formula>
    </cfRule>
    <cfRule type="containsText" dxfId="6" priority="4" operator="containsText" text="Food &amp; Groceries">
      <formula>NOT(ISERROR(SEARCH("Food &amp; Groceries",E10)))</formula>
    </cfRule>
    <cfRule type="containsText" dxfId="7" priority="5" operator="containsText" text="Investments">
      <formula>NOT(ISERROR(SEARCH("Investments",E10)))</formula>
    </cfRule>
    <cfRule type="containsText" dxfId="8" priority="6" operator="containsText" text="Date Nights">
      <formula>NOT(ISERROR(SEARCH("Date Nights",E10)))</formula>
    </cfRule>
    <cfRule type="containsText" dxfId="9" priority="7" operator="containsText" text="Annual Costs Savings">
      <formula>NOT(ISERROR(SEARCH("Annual Costs Savings",E10)))</formula>
    </cfRule>
    <cfRule type="containsText" dxfId="10" priority="8" operator="containsText" text="Emergency Buffer">
      <formula>NOT(ISERROR(SEARCH("Emergency Buffer",E10)))</formula>
    </cfRule>
    <cfRule type="containsText" dxfId="11" priority="9" operator="containsText" text="Personal Care">
      <formula>NOT(ISERROR(SEARCH("Personal Care",E10)))</formula>
    </cfRule>
    <cfRule type="containsText" dxfId="12" priority="10" operator="containsText" text="Personal Savings">
      <formula>NOT(ISERROR(SEARCH("Personal Savings",E10)))</formula>
    </cfRule>
    <cfRule type="containsText" dxfId="13" priority="11" operator="containsText" text="Miscellaneous">
      <formula>NOT(ISERROR(SEARCH("Miscellaneous",E10)))</formula>
    </cfRule>
  </conditionalFormatting>
  <conditionalFormatting sqref="N10">
    <cfRule type="containsText" dxfId="0" priority="24" operator="containsText" text="OVER">
      <formula>NOT(ISERROR(SEARCH("OVER",N10)))</formula>
    </cfRule>
    <cfRule type="containsText" dxfId="1" priority="25" operator="containsText" text="WARN">
      <formula>NOT(ISERROR(SEARCH("WARN",N10)))</formula>
    </cfRule>
    <cfRule type="containsText" dxfId="2" priority="26" operator="containsText" text="OK">
      <formula>NOT(ISERROR(SEARCH("OK",N10)))</formula>
    </cfRule>
  </conditionalFormatting>
  <conditionalFormatting sqref="N11">
    <cfRule type="containsText" dxfId="0" priority="27" operator="containsText" text="OVER">
      <formula>NOT(ISERROR(SEARCH("OVER",N11)))</formula>
    </cfRule>
    <cfRule type="containsText" dxfId="1" priority="28" operator="containsText" text="WARN">
      <formula>NOT(ISERROR(SEARCH("WARN",N11)))</formula>
    </cfRule>
    <cfRule type="containsText" dxfId="2" priority="29" operator="containsText" text="OK">
      <formula>NOT(ISERROR(SEARCH("OK",N11)))</formula>
    </cfRule>
  </conditionalFormatting>
  <conditionalFormatting sqref="N12">
    <cfRule type="containsText" dxfId="0" priority="30" operator="containsText" text="OVER">
      <formula>NOT(ISERROR(SEARCH("OVER",N12)))</formula>
    </cfRule>
    <cfRule type="containsText" dxfId="1" priority="31" operator="containsText" text="WARN">
      <formula>NOT(ISERROR(SEARCH("WARN",N12)))</formula>
    </cfRule>
    <cfRule type="containsText" dxfId="2" priority="32" operator="containsText" text="OK">
      <formula>NOT(ISERROR(SEARCH("OK",N12)))</formula>
    </cfRule>
  </conditionalFormatting>
  <conditionalFormatting sqref="N13">
    <cfRule type="containsText" dxfId="0" priority="33" operator="containsText" text="OVER">
      <formula>NOT(ISERROR(SEARCH("OVER",N13)))</formula>
    </cfRule>
    <cfRule type="containsText" dxfId="1" priority="34" operator="containsText" text="WARN">
      <formula>NOT(ISERROR(SEARCH("WARN",N13)))</formula>
    </cfRule>
    <cfRule type="containsText" dxfId="2" priority="35" operator="containsText" text="OK">
      <formula>NOT(ISERROR(SEARCH("OK",N13)))</formula>
    </cfRule>
  </conditionalFormatting>
  <conditionalFormatting sqref="N14">
    <cfRule type="containsText" dxfId="0" priority="36" operator="containsText" text="OVER">
      <formula>NOT(ISERROR(SEARCH("OVER",N14)))</formula>
    </cfRule>
    <cfRule type="containsText" dxfId="1" priority="37" operator="containsText" text="WARN">
      <formula>NOT(ISERROR(SEARCH("WARN",N14)))</formula>
    </cfRule>
    <cfRule type="containsText" dxfId="2" priority="38" operator="containsText" text="OK">
      <formula>NOT(ISERROR(SEARCH("OK",N14)))</formula>
    </cfRule>
  </conditionalFormatting>
  <conditionalFormatting sqref="N15">
    <cfRule type="containsText" dxfId="0" priority="39" operator="containsText" text="OVER">
      <formula>NOT(ISERROR(SEARCH("OVER",N15)))</formula>
    </cfRule>
    <cfRule type="containsText" dxfId="1" priority="40" operator="containsText" text="WARN">
      <formula>NOT(ISERROR(SEARCH("WARN",N15)))</formula>
    </cfRule>
    <cfRule type="containsText" dxfId="2" priority="41" operator="containsText" text="OK">
      <formula>NOT(ISERROR(SEARCH("OK",N15)))</formula>
    </cfRule>
  </conditionalFormatting>
  <conditionalFormatting sqref="N16">
    <cfRule type="containsText" dxfId="0" priority="42" operator="containsText" text="OVER">
      <formula>NOT(ISERROR(SEARCH("OVER",N16)))</formula>
    </cfRule>
    <cfRule type="containsText" dxfId="1" priority="43" operator="containsText" text="WARN">
      <formula>NOT(ISERROR(SEARCH("WARN",N16)))</formula>
    </cfRule>
    <cfRule type="containsText" dxfId="2" priority="44" operator="containsText" text="OK">
      <formula>NOT(ISERROR(SEARCH("OK",N16)))</formula>
    </cfRule>
  </conditionalFormatting>
  <conditionalFormatting sqref="N6">
    <cfRule type="containsText" dxfId="0" priority="12" operator="containsText" text="OVER">
      <formula>NOT(ISERROR(SEARCH("OVER",N6)))</formula>
    </cfRule>
    <cfRule type="containsText" dxfId="1" priority="13" operator="containsText" text="WARN">
      <formula>NOT(ISERROR(SEARCH("WARN",N6)))</formula>
    </cfRule>
    <cfRule type="containsText" dxfId="2" priority="14" operator="containsText" text="OK">
      <formula>NOT(ISERROR(SEARCH("OK",N6)))</formula>
    </cfRule>
  </conditionalFormatting>
  <conditionalFormatting sqref="N7">
    <cfRule type="containsText" dxfId="0" priority="15" operator="containsText" text="OVER">
      <formula>NOT(ISERROR(SEARCH("OVER",N7)))</formula>
    </cfRule>
    <cfRule type="containsText" dxfId="1" priority="16" operator="containsText" text="WARN">
      <formula>NOT(ISERROR(SEARCH("WARN",N7)))</formula>
    </cfRule>
    <cfRule type="containsText" dxfId="2" priority="17" operator="containsText" text="OK">
      <formula>NOT(ISERROR(SEARCH("OK",N7)))</formula>
    </cfRule>
  </conditionalFormatting>
  <conditionalFormatting sqref="N8">
    <cfRule type="containsText" dxfId="0" priority="18" operator="containsText" text="OVER">
      <formula>NOT(ISERROR(SEARCH("OVER",N8)))</formula>
    </cfRule>
    <cfRule type="containsText" dxfId="1" priority="19" operator="containsText" text="WARN">
      <formula>NOT(ISERROR(SEARCH("WARN",N8)))</formula>
    </cfRule>
    <cfRule type="containsText" dxfId="2" priority="20" operator="containsText" text="OK">
      <formula>NOT(ISERROR(SEARCH("OK",N8)))</formula>
    </cfRule>
  </conditionalFormatting>
  <conditionalFormatting sqref="N9">
    <cfRule type="containsText" dxfId="0" priority="21" operator="containsText" text="OVER">
      <formula>NOT(ISERROR(SEARCH("OVER",N9)))</formula>
    </cfRule>
    <cfRule type="containsText" dxfId="1" priority="22" operator="containsText" text="WARN">
      <formula>NOT(ISERROR(SEARCH("WARN",N9)))</formula>
    </cfRule>
    <cfRule type="containsText" dxfId="2" priority="23" operator="containsText" text="OK">
      <formula>NOT(ISERROR(SEARCH("OK",N9)))</formula>
    </cfRule>
  </conditionalFormatting>
  <dataValidations count="61">
    <dataValidation type="list" allowBlank="1" showInputMessage="1" showErrorMessage="1" sqref="I6">
      <formula1>"CZK,USD,EUR,NGN"</formula1>
    </dataValidation>
    <dataValidation type="list" allowBlank="1" showInputMessage="1" showErrorMessage="1" sqref="E1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0">
      <formula1>"Cash,Card,Transfer,Online"</formula1>
    </dataValidation>
    <dataValidation type="list" allowBlank="1" showInputMessage="1" showErrorMessage="1" sqref="E1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1">
      <formula1>"Cash,Card,Transfer,Online"</formula1>
    </dataValidation>
    <dataValidation type="list" allowBlank="1" showInputMessage="1" showErrorMessage="1" sqref="E1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2">
      <formula1>"Cash,Card,Transfer,Online"</formula1>
    </dataValidation>
    <dataValidation type="list" allowBlank="1" showInputMessage="1" showErrorMessage="1" sqref="E1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3">
      <formula1>"Cash,Card,Transfer,Online"</formula1>
    </dataValidation>
    <dataValidation type="list" allowBlank="1" showInputMessage="1" showErrorMessage="1" sqref="E1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4">
      <formula1>"Cash,Card,Transfer,Online"</formula1>
    </dataValidation>
    <dataValidation type="list" allowBlank="1" showInputMessage="1" showErrorMessage="1" sqref="E1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5">
      <formula1>"Cash,Card,Transfer,Online"</formula1>
    </dataValidation>
    <dataValidation type="list" allowBlank="1" showInputMessage="1" showErrorMessage="1" sqref="E1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6">
      <formula1>"Cash,Card,Transfer,Online"</formula1>
    </dataValidation>
    <dataValidation type="list" allowBlank="1" showInputMessage="1" showErrorMessage="1" sqref="E1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7">
      <formula1>"Cash,Card,Transfer,Online"</formula1>
    </dataValidation>
    <dataValidation type="list" allowBlank="1" showInputMessage="1" showErrorMessage="1" sqref="E1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8">
      <formula1>"Cash,Card,Transfer,Online"</formula1>
    </dataValidation>
    <dataValidation type="list" allowBlank="1" showInputMessage="1" showErrorMessage="1" sqref="E1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9">
      <formula1>"Cash,Card,Transfer,Online"</formula1>
    </dataValidation>
    <dataValidation type="list" allowBlank="1" showInputMessage="1" showErrorMessage="1" sqref="E2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0">
      <formula1>"Cash,Card,Transfer,Online"</formula1>
    </dataValidation>
    <dataValidation type="list" allowBlank="1" showInputMessage="1" showErrorMessage="1" sqref="E2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1">
      <formula1>"Cash,Card,Transfer,Online"</formula1>
    </dataValidation>
    <dataValidation type="list" allowBlank="1" showInputMessage="1" showErrorMessage="1" sqref="E2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2">
      <formula1>"Cash,Card,Transfer,Online"</formula1>
    </dataValidation>
    <dataValidation type="list" allowBlank="1" showInputMessage="1" showErrorMessage="1" sqref="E2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3">
      <formula1>"Cash,Card,Transfer,Online"</formula1>
    </dataValidation>
    <dataValidation type="list" allowBlank="1" showInputMessage="1" showErrorMessage="1" sqref="E2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4">
      <formula1>"Cash,Card,Transfer,Online"</formula1>
    </dataValidation>
    <dataValidation type="list" allowBlank="1" showInputMessage="1" showErrorMessage="1" sqref="E2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5">
      <formula1>"Cash,Card,Transfer,Online"</formula1>
    </dataValidation>
    <dataValidation type="list" allowBlank="1" showInputMessage="1" showErrorMessage="1" sqref="E2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6">
      <formula1>"Cash,Card,Transfer,Online"</formula1>
    </dataValidation>
    <dataValidation type="list" allowBlank="1" showInputMessage="1" showErrorMessage="1" sqref="E2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7">
      <formula1>"Cash,Card,Transfer,Online"</formula1>
    </dataValidation>
    <dataValidation type="list" allowBlank="1" showInputMessage="1" showErrorMessage="1" sqref="E2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8">
      <formula1>"Cash,Card,Transfer,Online"</formula1>
    </dataValidation>
    <dataValidation type="list" allowBlank="1" showInputMessage="1" showErrorMessage="1" sqref="E2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9">
      <formula1>"Cash,Card,Transfer,Online"</formula1>
    </dataValidation>
    <dataValidation type="list" allowBlank="1" showInputMessage="1" showErrorMessage="1" sqref="E3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0">
      <formula1>"Cash,Card,Transfer,Online"</formula1>
    </dataValidation>
    <dataValidation type="list" allowBlank="1" showInputMessage="1" showErrorMessage="1" sqref="E3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1">
      <formula1>"Cash,Card,Transfer,Online"</formula1>
    </dataValidation>
    <dataValidation type="list" allowBlank="1" showInputMessage="1" showErrorMessage="1" sqref="E3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2">
      <formula1>"Cash,Card,Transfer,Online"</formula1>
    </dataValidation>
    <dataValidation type="list" allowBlank="1" showInputMessage="1" showErrorMessage="1" sqref="E3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3">
      <formula1>"Cash,Card,Transfer,Online"</formula1>
    </dataValidation>
    <dataValidation type="list" allowBlank="1" showInputMessage="1" showErrorMessage="1" sqref="E3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4">
      <formula1>"Cash,Card,Transfer,Online"</formula1>
    </dataValidation>
    <dataValidation type="list" allowBlank="1" showInputMessage="1" showErrorMessage="1" sqref="E3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5">
      <formula1>"Cash,Card,Transfer,Online"</formula1>
    </dataValidation>
    <dataValidation type="list" allowBlank="1" showInputMessage="1" showErrorMessage="1" sqref="E3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6">
      <formula1>"Cash,Card,Transfer,Online"</formula1>
    </dataValidation>
    <dataValidation type="list" allowBlank="1" showInputMessage="1" showErrorMessage="1" sqref="E3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7">
      <formula1>"Cash,Card,Transfer,Online"</formula1>
    </dataValidation>
    <dataValidation type="list" allowBlank="1" showInputMessage="1" showErrorMessage="1" sqref="E3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8">
      <formula1>"Cash,Card,Transfer,Online"</formula1>
    </dataValidation>
    <dataValidation type="list" allowBlank="1" showInputMessage="1" showErrorMessage="1" sqref="E3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9">
      <formula1>"Cash,Card,Transfer,Online"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5722"/>
  </sheetPr>
  <dimension ref="B1:N41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/>
  <cols>
    <col min="1" max="1" width="5.7109375" customWidth="1"/>
    <col min="2" max="2" width="6.7109375" customWidth="1"/>
    <col min="3" max="3" width="14.7109375" customWidth="1"/>
    <col min="4" max="4" width="12.7109375" customWidth="1"/>
    <col min="5" max="5" width="28.7109375" customWidth="1"/>
    <col min="6" max="6" width="38.7109375" customWidth="1"/>
    <col min="7" max="7" width="20.7109375" customWidth="1"/>
    <col min="8" max="8" width="16.7109375" customWidth="1"/>
    <col min="9" max="9" width="20.7109375" customWidth="1"/>
    <col min="11" max="11" width="28.7109375" customWidth="1"/>
    <col min="12" max="13" width="18.7109375" customWidth="1"/>
    <col min="14" max="14" width="14.7109375" customWidth="1"/>
  </cols>
  <sheetData>
    <row r="1" spans="2:14" ht="45" customHeight="1">
      <c r="B1" s="100" t="s">
        <v>145</v>
      </c>
      <c r="C1" s="100"/>
      <c r="D1" s="100"/>
      <c r="E1" s="100"/>
      <c r="F1" s="100"/>
      <c r="G1" s="100"/>
      <c r="H1" s="100"/>
      <c r="I1" s="100"/>
    </row>
    <row r="2" spans="2:14">
      <c r="B2" s="101" t="s">
        <v>146</v>
      </c>
      <c r="C2" s="101"/>
      <c r="D2" s="101"/>
      <c r="E2" s="101"/>
      <c r="F2" s="101"/>
      <c r="G2" s="101"/>
      <c r="H2" s="101"/>
      <c r="I2" s="101"/>
    </row>
    <row r="4" spans="2:14">
      <c r="B4" s="102" t="s">
        <v>108</v>
      </c>
      <c r="C4" s="102"/>
      <c r="D4" s="102"/>
      <c r="F4" s="102" t="s">
        <v>112</v>
      </c>
      <c r="G4" s="102"/>
      <c r="H4" s="102"/>
      <c r="I4" s="102"/>
      <c r="K4" s="102" t="s">
        <v>147</v>
      </c>
      <c r="L4" s="102"/>
      <c r="M4" s="102"/>
      <c r="N4" s="102"/>
    </row>
    <row r="5" spans="2:14">
      <c r="B5" s="1" t="s">
        <v>109</v>
      </c>
      <c r="C5" s="20">
        <v>0</v>
      </c>
      <c r="F5" s="1" t="s">
        <v>113</v>
      </c>
      <c r="G5" s="11">
        <v>60000</v>
      </c>
      <c r="H5" s="1" t="s">
        <v>114</v>
      </c>
      <c r="I5" s="66">
        <f>Dashboard!$N$2</f>
        <v>0</v>
      </c>
      <c r="K5" s="9" t="s">
        <v>31</v>
      </c>
      <c r="L5" s="9" t="s">
        <v>32</v>
      </c>
      <c r="M5" s="9" t="s">
        <v>33</v>
      </c>
      <c r="N5" s="9" t="s">
        <v>34</v>
      </c>
    </row>
    <row r="6" spans="2:14">
      <c r="B6" s="1" t="s">
        <v>110</v>
      </c>
      <c r="C6" s="20">
        <v>0</v>
      </c>
      <c r="F6" s="1" t="s">
        <v>92</v>
      </c>
      <c r="G6" s="20">
        <v>0</v>
      </c>
      <c r="H6" s="1" t="s">
        <v>114</v>
      </c>
      <c r="I6" s="67" t="s">
        <v>5</v>
      </c>
      <c r="K6" s="24" t="s">
        <v>36</v>
      </c>
      <c r="L6" s="11">
        <f>'Monthly Budget'!D3</f>
        <v>0</v>
      </c>
      <c r="M6" s="11">
        <f>SUMIF(E:E,K6,G:G)</f>
        <v>0</v>
      </c>
      <c r="N6" s="12">
        <f>IF(M6&gt;L6,"OVER",IF(M6&gt;L6*0.9,"WARN","OK"))</f>
        <v>0</v>
      </c>
    </row>
    <row r="7" spans="2:14">
      <c r="B7" s="1" t="s">
        <v>111</v>
      </c>
      <c r="C7" s="22">
        <f>C6-C5</f>
        <v>0</v>
      </c>
      <c r="F7" s="1" t="s">
        <v>93</v>
      </c>
      <c r="G7" s="22">
        <f>G5+G6</f>
        <v>0</v>
      </c>
      <c r="K7" s="25" t="s">
        <v>37</v>
      </c>
      <c r="L7" s="11">
        <f>'Monthly Budget'!D4</f>
        <v>0</v>
      </c>
      <c r="M7" s="11">
        <f>SUMIF(E:E,K7,G:G)</f>
        <v>0</v>
      </c>
      <c r="N7" s="12">
        <f>IF(M7&gt;L7,"OVER",IF(M7&gt;L7*0.9,"WARN","OK"))</f>
        <v>0</v>
      </c>
    </row>
    <row r="8" spans="2:14">
      <c r="K8" s="27" t="s">
        <v>38</v>
      </c>
      <c r="L8" s="11">
        <f>'Monthly Budget'!D5</f>
        <v>0</v>
      </c>
      <c r="M8" s="11">
        <f>SUMIF(E:E,K8,G:G)</f>
        <v>0</v>
      </c>
      <c r="N8" s="12">
        <f>IF(M8&gt;L8,"OVER",IF(M8&gt;L8*0.9,"WARN","OK"))</f>
        <v>0</v>
      </c>
    </row>
    <row r="9" spans="2:14">
      <c r="B9" s="102" t="s">
        <v>95</v>
      </c>
      <c r="C9" s="102" t="s">
        <v>115</v>
      </c>
      <c r="D9" s="102" t="s">
        <v>116</v>
      </c>
      <c r="E9" s="102" t="s">
        <v>31</v>
      </c>
      <c r="F9" s="102" t="s">
        <v>117</v>
      </c>
      <c r="G9" s="102" t="s">
        <v>118</v>
      </c>
      <c r="H9" s="102" t="s">
        <v>119</v>
      </c>
      <c r="I9" s="102" t="s">
        <v>120</v>
      </c>
      <c r="K9" s="29" t="s">
        <v>39</v>
      </c>
      <c r="L9" s="11">
        <f>'Monthly Budget'!D6</f>
        <v>0</v>
      </c>
      <c r="M9" s="11">
        <f>SUMIF(E:E,K9,G:G)</f>
        <v>0</v>
      </c>
      <c r="N9" s="12">
        <f>IF(M9&gt;L9,"OVER",IF(M9&gt;L9*0.9,"WARN","OK"))</f>
        <v>0</v>
      </c>
    </row>
    <row r="10" spans="2:14">
      <c r="B10" s="12">
        <v>1</v>
      </c>
      <c r="C10" s="68">
        <v>46204</v>
      </c>
      <c r="D10" s="69" t="s">
        <v>127</v>
      </c>
      <c r="E10" s="70"/>
      <c r="F10" s="70"/>
      <c r="G10" s="20"/>
      <c r="H10" s="70"/>
      <c r="I10" s="11">
        <f>G10</f>
        <v>0</v>
      </c>
      <c r="K10" s="30" t="s">
        <v>40</v>
      </c>
      <c r="L10" s="11">
        <f>'Monthly Budget'!D7</f>
        <v>0</v>
      </c>
      <c r="M10" s="11">
        <f>SUMIF(E:E,K10,G:G)</f>
        <v>0</v>
      </c>
      <c r="N10" s="12">
        <f>IF(M10&gt;L10,"OVER",IF(M10&gt;L10*0.9,"WARN","OK"))</f>
        <v>0</v>
      </c>
    </row>
    <row r="11" spans="2:14">
      <c r="B11" s="12">
        <v>2</v>
      </c>
      <c r="C11" s="68">
        <v>46205</v>
      </c>
      <c r="D11" s="69" t="s">
        <v>121</v>
      </c>
      <c r="E11" s="70"/>
      <c r="F11" s="70"/>
      <c r="G11" s="20"/>
      <c r="H11" s="70"/>
      <c r="I11" s="11">
        <f>I10+G11</f>
        <v>0</v>
      </c>
      <c r="K11" s="31" t="s">
        <v>41</v>
      </c>
      <c r="L11" s="11">
        <f>'Monthly Budget'!D8</f>
        <v>0</v>
      </c>
      <c r="M11" s="11">
        <f>SUMIF(E:E,K11,G:G)</f>
        <v>0</v>
      </c>
      <c r="N11" s="12">
        <f>IF(M11&gt;L11,"OVER",IF(M11&gt;L11*0.9,"WARN","OK"))</f>
        <v>0</v>
      </c>
    </row>
    <row r="12" spans="2:14">
      <c r="B12" s="12">
        <v>3</v>
      </c>
      <c r="C12" s="68">
        <v>46206</v>
      </c>
      <c r="D12" s="69" t="s">
        <v>122</v>
      </c>
      <c r="E12" s="70"/>
      <c r="F12" s="70"/>
      <c r="G12" s="20"/>
      <c r="H12" s="70"/>
      <c r="I12" s="11">
        <f>I11+G12</f>
        <v>0</v>
      </c>
      <c r="K12" s="33" t="s">
        <v>42</v>
      </c>
      <c r="L12" s="11">
        <f>'Monthly Budget'!D9</f>
        <v>0</v>
      </c>
      <c r="M12" s="11">
        <f>SUMIF(E:E,K12,G:G)</f>
        <v>0</v>
      </c>
      <c r="N12" s="12">
        <f>IF(M12&gt;L12,"OVER",IF(M12&gt;L12*0.9,"WARN","OK"))</f>
        <v>0</v>
      </c>
    </row>
    <row r="13" spans="2:14">
      <c r="B13" s="12">
        <v>4</v>
      </c>
      <c r="C13" s="71">
        <v>46207</v>
      </c>
      <c r="D13" s="72" t="s">
        <v>123</v>
      </c>
      <c r="E13" s="70"/>
      <c r="F13" s="70"/>
      <c r="G13" s="20"/>
      <c r="H13" s="70"/>
      <c r="I13" s="11">
        <f>I12+G13</f>
        <v>0</v>
      </c>
      <c r="K13" s="38" t="s">
        <v>43</v>
      </c>
      <c r="L13" s="11">
        <f>'Monthly Budget'!D10</f>
        <v>0</v>
      </c>
      <c r="M13" s="11">
        <f>SUMIF(E:E,K13,G:G)</f>
        <v>0</v>
      </c>
      <c r="N13" s="12">
        <f>IF(M13&gt;L13,"OVER",IF(M13&gt;L13*0.9,"WARN","OK"))</f>
        <v>0</v>
      </c>
    </row>
    <row r="14" spans="2:14">
      <c r="B14" s="12">
        <v>5</v>
      </c>
      <c r="C14" s="71">
        <v>46208</v>
      </c>
      <c r="D14" s="72" t="s">
        <v>124</v>
      </c>
      <c r="E14" s="70"/>
      <c r="F14" s="70"/>
      <c r="G14" s="20"/>
      <c r="H14" s="70"/>
      <c r="I14" s="11">
        <f>I13+G14</f>
        <v>0</v>
      </c>
      <c r="K14" s="59" t="s">
        <v>83</v>
      </c>
      <c r="L14" s="11">
        <f>'Monthly Budget'!D11</f>
        <v>0</v>
      </c>
      <c r="M14" s="11">
        <f>SUMIF(E:E,K14,G:G)</f>
        <v>0</v>
      </c>
      <c r="N14" s="12">
        <f>IF(M14&gt;L14,"OVER",IF(M14&gt;L14*0.9,"WARN","OK"))</f>
        <v>0</v>
      </c>
    </row>
    <row r="15" spans="2:14">
      <c r="B15" s="12">
        <v>6</v>
      </c>
      <c r="C15" s="68">
        <v>46209</v>
      </c>
      <c r="D15" s="69" t="s">
        <v>125</v>
      </c>
      <c r="E15" s="70"/>
      <c r="F15" s="70"/>
      <c r="G15" s="20"/>
      <c r="H15" s="70"/>
      <c r="I15" s="11">
        <f>I14+G15</f>
        <v>0</v>
      </c>
      <c r="K15" s="60" t="s">
        <v>84</v>
      </c>
      <c r="L15" s="11">
        <f>'Monthly Budget'!D12</f>
        <v>0</v>
      </c>
      <c r="M15" s="11">
        <f>SUMIF(E:E,K15,G:G)</f>
        <v>0</v>
      </c>
      <c r="N15" s="12">
        <f>IF(M15&gt;L15,"OVER",IF(M15&gt;L15*0.9,"WARN","OK"))</f>
        <v>0</v>
      </c>
    </row>
    <row r="16" spans="2:14">
      <c r="B16" s="12">
        <v>7</v>
      </c>
      <c r="C16" s="68">
        <v>46210</v>
      </c>
      <c r="D16" s="69" t="s">
        <v>126</v>
      </c>
      <c r="E16" s="70"/>
      <c r="F16" s="70"/>
      <c r="G16" s="20"/>
      <c r="H16" s="70"/>
      <c r="I16" s="11">
        <f>I15+G16</f>
        <v>0</v>
      </c>
      <c r="K16" s="61" t="s">
        <v>85</v>
      </c>
      <c r="L16" s="11">
        <f>'Monthly Budget'!D13</f>
        <v>0</v>
      </c>
      <c r="M16" s="11">
        <f>SUMIF(E:E,K16,G:G)</f>
        <v>0</v>
      </c>
      <c r="N16" s="12">
        <f>IF(M16&gt;L16,"OVER",IF(M16&gt;L16*0.9,"WARN","OK"))</f>
        <v>0</v>
      </c>
    </row>
    <row r="17" spans="2:13">
      <c r="B17" s="12">
        <v>8</v>
      </c>
      <c r="C17" s="68">
        <v>46211</v>
      </c>
      <c r="D17" s="69" t="s">
        <v>127</v>
      </c>
      <c r="E17" s="70"/>
      <c r="F17" s="70"/>
      <c r="G17" s="20"/>
      <c r="H17" s="70"/>
      <c r="I17" s="11">
        <f>I16+G17</f>
        <v>0</v>
      </c>
      <c r="K17" s="52" t="s">
        <v>65</v>
      </c>
      <c r="L17" s="22">
        <f>SUM(L6:L16)</f>
        <v>0</v>
      </c>
      <c r="M17" s="22">
        <f>SUM(M6:M16)</f>
        <v>0</v>
      </c>
    </row>
    <row r="18" spans="2:13">
      <c r="B18" s="12">
        <v>9</v>
      </c>
      <c r="C18" s="68">
        <v>46212</v>
      </c>
      <c r="D18" s="69" t="s">
        <v>121</v>
      </c>
      <c r="E18" s="70"/>
      <c r="F18" s="70"/>
      <c r="G18" s="20"/>
      <c r="H18" s="70"/>
      <c r="I18" s="11">
        <f>I17+G18</f>
        <v>0</v>
      </c>
    </row>
    <row r="19" spans="2:13">
      <c r="B19" s="12">
        <v>10</v>
      </c>
      <c r="C19" s="68">
        <v>46213</v>
      </c>
      <c r="D19" s="69" t="s">
        <v>122</v>
      </c>
      <c r="E19" s="70"/>
      <c r="F19" s="70"/>
      <c r="G19" s="20"/>
      <c r="H19" s="70"/>
      <c r="I19" s="11">
        <f>I18+G19</f>
        <v>0</v>
      </c>
    </row>
    <row r="20" spans="2:13">
      <c r="B20" s="12">
        <v>11</v>
      </c>
      <c r="C20" s="71">
        <v>46214</v>
      </c>
      <c r="D20" s="72" t="s">
        <v>123</v>
      </c>
      <c r="E20" s="70"/>
      <c r="F20" s="70"/>
      <c r="G20" s="20"/>
      <c r="H20" s="70"/>
      <c r="I20" s="11">
        <f>I19+G20</f>
        <v>0</v>
      </c>
    </row>
    <row r="21" spans="2:13">
      <c r="B21" s="12">
        <v>12</v>
      </c>
      <c r="C21" s="71">
        <v>46215</v>
      </c>
      <c r="D21" s="72" t="s">
        <v>124</v>
      </c>
      <c r="E21" s="70"/>
      <c r="F21" s="70"/>
      <c r="G21" s="20"/>
      <c r="H21" s="70"/>
      <c r="I21" s="11">
        <f>I20+G21</f>
        <v>0</v>
      </c>
    </row>
    <row r="22" spans="2:13">
      <c r="B22" s="12">
        <v>13</v>
      </c>
      <c r="C22" s="68">
        <v>46216</v>
      </c>
      <c r="D22" s="69" t="s">
        <v>125</v>
      </c>
      <c r="E22" s="70"/>
      <c r="F22" s="70"/>
      <c r="G22" s="20"/>
      <c r="H22" s="70"/>
      <c r="I22" s="11">
        <f>I21+G22</f>
        <v>0</v>
      </c>
    </row>
    <row r="23" spans="2:13">
      <c r="B23" s="12">
        <v>14</v>
      </c>
      <c r="C23" s="68">
        <v>46217</v>
      </c>
      <c r="D23" s="69" t="s">
        <v>126</v>
      </c>
      <c r="E23" s="70"/>
      <c r="F23" s="70"/>
      <c r="G23" s="20"/>
      <c r="H23" s="70"/>
      <c r="I23" s="11">
        <f>I22+G23</f>
        <v>0</v>
      </c>
    </row>
    <row r="24" spans="2:13">
      <c r="B24" s="12">
        <v>15</v>
      </c>
      <c r="C24" s="68">
        <v>46218</v>
      </c>
      <c r="D24" s="69" t="s">
        <v>127</v>
      </c>
      <c r="E24" s="70"/>
      <c r="F24" s="70"/>
      <c r="G24" s="20"/>
      <c r="H24" s="70"/>
      <c r="I24" s="11">
        <f>I23+G24</f>
        <v>0</v>
      </c>
    </row>
    <row r="25" spans="2:13">
      <c r="B25" s="12">
        <v>16</v>
      </c>
      <c r="C25" s="68">
        <v>46219</v>
      </c>
      <c r="D25" s="69" t="s">
        <v>121</v>
      </c>
      <c r="E25" s="70"/>
      <c r="F25" s="70"/>
      <c r="G25" s="20"/>
      <c r="H25" s="70"/>
      <c r="I25" s="11">
        <f>I24+G25</f>
        <v>0</v>
      </c>
    </row>
    <row r="26" spans="2:13">
      <c r="B26" s="12">
        <v>17</v>
      </c>
      <c r="C26" s="68">
        <v>46220</v>
      </c>
      <c r="D26" s="69" t="s">
        <v>122</v>
      </c>
      <c r="E26" s="70"/>
      <c r="F26" s="70"/>
      <c r="G26" s="20"/>
      <c r="H26" s="70"/>
      <c r="I26" s="11">
        <f>I25+G26</f>
        <v>0</v>
      </c>
    </row>
    <row r="27" spans="2:13">
      <c r="B27" s="12">
        <v>18</v>
      </c>
      <c r="C27" s="71">
        <v>46221</v>
      </c>
      <c r="D27" s="72" t="s">
        <v>123</v>
      </c>
      <c r="E27" s="70"/>
      <c r="F27" s="70"/>
      <c r="G27" s="20"/>
      <c r="H27" s="70"/>
      <c r="I27" s="11">
        <f>I26+G27</f>
        <v>0</v>
      </c>
    </row>
    <row r="28" spans="2:13">
      <c r="B28" s="12">
        <v>19</v>
      </c>
      <c r="C28" s="71">
        <v>46222</v>
      </c>
      <c r="D28" s="72" t="s">
        <v>124</v>
      </c>
      <c r="E28" s="70"/>
      <c r="F28" s="70"/>
      <c r="G28" s="20"/>
      <c r="H28" s="70"/>
      <c r="I28" s="11">
        <f>I27+G28</f>
        <v>0</v>
      </c>
    </row>
    <row r="29" spans="2:13">
      <c r="B29" s="12">
        <v>20</v>
      </c>
      <c r="C29" s="68">
        <v>46223</v>
      </c>
      <c r="D29" s="69" t="s">
        <v>125</v>
      </c>
      <c r="E29" s="70"/>
      <c r="F29" s="70"/>
      <c r="G29" s="20"/>
      <c r="H29" s="70"/>
      <c r="I29" s="11">
        <f>I28+G29</f>
        <v>0</v>
      </c>
    </row>
    <row r="30" spans="2:13">
      <c r="B30" s="12">
        <v>21</v>
      </c>
      <c r="C30" s="68">
        <v>46224</v>
      </c>
      <c r="D30" s="69" t="s">
        <v>126</v>
      </c>
      <c r="E30" s="70"/>
      <c r="F30" s="70"/>
      <c r="G30" s="20"/>
      <c r="H30" s="70"/>
      <c r="I30" s="11">
        <f>I29+G30</f>
        <v>0</v>
      </c>
    </row>
    <row r="31" spans="2:13">
      <c r="B31" s="12">
        <v>22</v>
      </c>
      <c r="C31" s="68">
        <v>46225</v>
      </c>
      <c r="D31" s="69" t="s">
        <v>127</v>
      </c>
      <c r="E31" s="70"/>
      <c r="F31" s="70"/>
      <c r="G31" s="20"/>
      <c r="H31" s="70"/>
      <c r="I31" s="11">
        <f>I30+G31</f>
        <v>0</v>
      </c>
    </row>
    <row r="32" spans="2:13">
      <c r="B32" s="12">
        <v>23</v>
      </c>
      <c r="C32" s="68">
        <v>46226</v>
      </c>
      <c r="D32" s="69" t="s">
        <v>121</v>
      </c>
      <c r="E32" s="70"/>
      <c r="F32" s="70"/>
      <c r="G32" s="20"/>
      <c r="H32" s="70"/>
      <c r="I32" s="11">
        <f>I31+G32</f>
        <v>0</v>
      </c>
    </row>
    <row r="33" spans="2:9">
      <c r="B33" s="12">
        <v>24</v>
      </c>
      <c r="C33" s="68">
        <v>46227</v>
      </c>
      <c r="D33" s="69" t="s">
        <v>122</v>
      </c>
      <c r="E33" s="70"/>
      <c r="F33" s="70"/>
      <c r="G33" s="20"/>
      <c r="H33" s="70"/>
      <c r="I33" s="11">
        <f>I32+G33</f>
        <v>0</v>
      </c>
    </row>
    <row r="34" spans="2:9">
      <c r="B34" s="12">
        <v>25</v>
      </c>
      <c r="C34" s="71">
        <v>46228</v>
      </c>
      <c r="D34" s="72" t="s">
        <v>123</v>
      </c>
      <c r="E34" s="70"/>
      <c r="F34" s="70"/>
      <c r="G34" s="20"/>
      <c r="H34" s="70"/>
      <c r="I34" s="11">
        <f>I33+G34</f>
        <v>0</v>
      </c>
    </row>
    <row r="35" spans="2:9">
      <c r="B35" s="12">
        <v>26</v>
      </c>
      <c r="C35" s="71">
        <v>46229</v>
      </c>
      <c r="D35" s="72" t="s">
        <v>124</v>
      </c>
      <c r="E35" s="70"/>
      <c r="F35" s="70"/>
      <c r="G35" s="20"/>
      <c r="H35" s="70"/>
      <c r="I35" s="11">
        <f>I34+G35</f>
        <v>0</v>
      </c>
    </row>
    <row r="36" spans="2:9">
      <c r="B36" s="12">
        <v>27</v>
      </c>
      <c r="C36" s="68">
        <v>46230</v>
      </c>
      <c r="D36" s="69" t="s">
        <v>125</v>
      </c>
      <c r="E36" s="70"/>
      <c r="F36" s="70"/>
      <c r="G36" s="20"/>
      <c r="H36" s="70"/>
      <c r="I36" s="11">
        <f>I35+G36</f>
        <v>0</v>
      </c>
    </row>
    <row r="37" spans="2:9">
      <c r="B37" s="12">
        <v>28</v>
      </c>
      <c r="C37" s="68">
        <v>46231</v>
      </c>
      <c r="D37" s="69" t="s">
        <v>126</v>
      </c>
      <c r="E37" s="70"/>
      <c r="F37" s="70"/>
      <c r="G37" s="20"/>
      <c r="H37" s="70"/>
      <c r="I37" s="11">
        <f>I36+G37</f>
        <v>0</v>
      </c>
    </row>
    <row r="38" spans="2:9">
      <c r="B38" s="12">
        <v>29</v>
      </c>
      <c r="C38" s="68">
        <v>46232</v>
      </c>
      <c r="D38" s="69" t="s">
        <v>127</v>
      </c>
      <c r="E38" s="70"/>
      <c r="F38" s="70"/>
      <c r="G38" s="20"/>
      <c r="H38" s="70"/>
      <c r="I38" s="11">
        <f>I37+G38</f>
        <v>0</v>
      </c>
    </row>
    <row r="39" spans="2:9">
      <c r="B39" s="12">
        <v>30</v>
      </c>
      <c r="C39" s="68">
        <v>46233</v>
      </c>
      <c r="D39" s="69" t="s">
        <v>121</v>
      </c>
      <c r="E39" s="70"/>
      <c r="F39" s="70"/>
      <c r="G39" s="20"/>
      <c r="H39" s="70"/>
      <c r="I39" s="11">
        <f>I38+G39</f>
        <v>0</v>
      </c>
    </row>
    <row r="40" spans="2:9">
      <c r="B40" s="12">
        <v>31</v>
      </c>
      <c r="C40" s="68">
        <v>46234</v>
      </c>
      <c r="D40" s="69" t="s">
        <v>122</v>
      </c>
      <c r="E40" s="70"/>
      <c r="F40" s="70"/>
      <c r="G40" s="20"/>
      <c r="H40" s="70"/>
      <c r="I40" s="11">
        <f>I39+G40</f>
        <v>0</v>
      </c>
    </row>
    <row r="41" spans="2:9">
      <c r="F41" s="103" t="s">
        <v>128</v>
      </c>
      <c r="G41" s="104">
        <f>SUM(G10:G40)</f>
        <v>0</v>
      </c>
    </row>
  </sheetData>
  <mergeCells count="5">
    <mergeCell ref="B1:I1"/>
    <mergeCell ref="B2:I2"/>
    <mergeCell ref="B4:D4"/>
    <mergeCell ref="F4:I4"/>
    <mergeCell ref="K4:N4"/>
  </mergeCells>
  <conditionalFormatting sqref="E10:E40">
    <cfRule type="containsText" dxfId="3" priority="1" operator="containsText" text="Rent + Utilities">
      <formula>NOT(ISERROR(SEARCH("Rent + Utilities",E10)))</formula>
    </cfRule>
    <cfRule type="containsText" dxfId="4" priority="2" operator="containsText" text="Electricity Deposit">
      <formula>NOT(ISERROR(SEARCH("Electricity Deposit",E10)))</formula>
    </cfRule>
    <cfRule type="containsText" dxfId="5" priority="3" operator="containsText" text="Internet &amp; Phone Bills">
      <formula>NOT(ISERROR(SEARCH("Internet &amp; Phone Bills",E10)))</formula>
    </cfRule>
    <cfRule type="containsText" dxfId="6" priority="4" operator="containsText" text="Food &amp; Groceries">
      <formula>NOT(ISERROR(SEARCH("Food &amp; Groceries",E10)))</formula>
    </cfRule>
    <cfRule type="containsText" dxfId="7" priority="5" operator="containsText" text="Investments">
      <formula>NOT(ISERROR(SEARCH("Investments",E10)))</formula>
    </cfRule>
    <cfRule type="containsText" dxfId="8" priority="6" operator="containsText" text="Date Nights">
      <formula>NOT(ISERROR(SEARCH("Date Nights",E10)))</formula>
    </cfRule>
    <cfRule type="containsText" dxfId="9" priority="7" operator="containsText" text="Annual Costs Savings">
      <formula>NOT(ISERROR(SEARCH("Annual Costs Savings",E10)))</formula>
    </cfRule>
    <cfRule type="containsText" dxfId="10" priority="8" operator="containsText" text="Emergency Buffer">
      <formula>NOT(ISERROR(SEARCH("Emergency Buffer",E10)))</formula>
    </cfRule>
    <cfRule type="containsText" dxfId="11" priority="9" operator="containsText" text="Personal Care">
      <formula>NOT(ISERROR(SEARCH("Personal Care",E10)))</formula>
    </cfRule>
    <cfRule type="containsText" dxfId="12" priority="10" operator="containsText" text="Personal Savings">
      <formula>NOT(ISERROR(SEARCH("Personal Savings",E10)))</formula>
    </cfRule>
    <cfRule type="containsText" dxfId="13" priority="11" operator="containsText" text="Miscellaneous">
      <formula>NOT(ISERROR(SEARCH("Miscellaneous",E10)))</formula>
    </cfRule>
  </conditionalFormatting>
  <conditionalFormatting sqref="N10">
    <cfRule type="containsText" dxfId="0" priority="24" operator="containsText" text="OVER">
      <formula>NOT(ISERROR(SEARCH("OVER",N10)))</formula>
    </cfRule>
    <cfRule type="containsText" dxfId="1" priority="25" operator="containsText" text="WARN">
      <formula>NOT(ISERROR(SEARCH("WARN",N10)))</formula>
    </cfRule>
    <cfRule type="containsText" dxfId="2" priority="26" operator="containsText" text="OK">
      <formula>NOT(ISERROR(SEARCH("OK",N10)))</formula>
    </cfRule>
  </conditionalFormatting>
  <conditionalFormatting sqref="N11">
    <cfRule type="containsText" dxfId="0" priority="27" operator="containsText" text="OVER">
      <formula>NOT(ISERROR(SEARCH("OVER",N11)))</formula>
    </cfRule>
    <cfRule type="containsText" dxfId="1" priority="28" operator="containsText" text="WARN">
      <formula>NOT(ISERROR(SEARCH("WARN",N11)))</formula>
    </cfRule>
    <cfRule type="containsText" dxfId="2" priority="29" operator="containsText" text="OK">
      <formula>NOT(ISERROR(SEARCH("OK",N11)))</formula>
    </cfRule>
  </conditionalFormatting>
  <conditionalFormatting sqref="N12">
    <cfRule type="containsText" dxfId="0" priority="30" operator="containsText" text="OVER">
      <formula>NOT(ISERROR(SEARCH("OVER",N12)))</formula>
    </cfRule>
    <cfRule type="containsText" dxfId="1" priority="31" operator="containsText" text="WARN">
      <formula>NOT(ISERROR(SEARCH("WARN",N12)))</formula>
    </cfRule>
    <cfRule type="containsText" dxfId="2" priority="32" operator="containsText" text="OK">
      <formula>NOT(ISERROR(SEARCH("OK",N12)))</formula>
    </cfRule>
  </conditionalFormatting>
  <conditionalFormatting sqref="N13">
    <cfRule type="containsText" dxfId="0" priority="33" operator="containsText" text="OVER">
      <formula>NOT(ISERROR(SEARCH("OVER",N13)))</formula>
    </cfRule>
    <cfRule type="containsText" dxfId="1" priority="34" operator="containsText" text="WARN">
      <formula>NOT(ISERROR(SEARCH("WARN",N13)))</formula>
    </cfRule>
    <cfRule type="containsText" dxfId="2" priority="35" operator="containsText" text="OK">
      <formula>NOT(ISERROR(SEARCH("OK",N13)))</formula>
    </cfRule>
  </conditionalFormatting>
  <conditionalFormatting sqref="N14">
    <cfRule type="containsText" dxfId="0" priority="36" operator="containsText" text="OVER">
      <formula>NOT(ISERROR(SEARCH("OVER",N14)))</formula>
    </cfRule>
    <cfRule type="containsText" dxfId="1" priority="37" operator="containsText" text="WARN">
      <formula>NOT(ISERROR(SEARCH("WARN",N14)))</formula>
    </cfRule>
    <cfRule type="containsText" dxfId="2" priority="38" operator="containsText" text="OK">
      <formula>NOT(ISERROR(SEARCH("OK",N14)))</formula>
    </cfRule>
  </conditionalFormatting>
  <conditionalFormatting sqref="N15">
    <cfRule type="containsText" dxfId="0" priority="39" operator="containsText" text="OVER">
      <formula>NOT(ISERROR(SEARCH("OVER",N15)))</formula>
    </cfRule>
    <cfRule type="containsText" dxfId="1" priority="40" operator="containsText" text="WARN">
      <formula>NOT(ISERROR(SEARCH("WARN",N15)))</formula>
    </cfRule>
    <cfRule type="containsText" dxfId="2" priority="41" operator="containsText" text="OK">
      <formula>NOT(ISERROR(SEARCH("OK",N15)))</formula>
    </cfRule>
  </conditionalFormatting>
  <conditionalFormatting sqref="N16">
    <cfRule type="containsText" dxfId="0" priority="42" operator="containsText" text="OVER">
      <formula>NOT(ISERROR(SEARCH("OVER",N16)))</formula>
    </cfRule>
    <cfRule type="containsText" dxfId="1" priority="43" operator="containsText" text="WARN">
      <formula>NOT(ISERROR(SEARCH("WARN",N16)))</formula>
    </cfRule>
    <cfRule type="containsText" dxfId="2" priority="44" operator="containsText" text="OK">
      <formula>NOT(ISERROR(SEARCH("OK",N16)))</formula>
    </cfRule>
  </conditionalFormatting>
  <conditionalFormatting sqref="N6">
    <cfRule type="containsText" dxfId="0" priority="12" operator="containsText" text="OVER">
      <formula>NOT(ISERROR(SEARCH("OVER",N6)))</formula>
    </cfRule>
    <cfRule type="containsText" dxfId="1" priority="13" operator="containsText" text="WARN">
      <formula>NOT(ISERROR(SEARCH("WARN",N6)))</formula>
    </cfRule>
    <cfRule type="containsText" dxfId="2" priority="14" operator="containsText" text="OK">
      <formula>NOT(ISERROR(SEARCH("OK",N6)))</formula>
    </cfRule>
  </conditionalFormatting>
  <conditionalFormatting sqref="N7">
    <cfRule type="containsText" dxfId="0" priority="15" operator="containsText" text="OVER">
      <formula>NOT(ISERROR(SEARCH("OVER",N7)))</formula>
    </cfRule>
    <cfRule type="containsText" dxfId="1" priority="16" operator="containsText" text="WARN">
      <formula>NOT(ISERROR(SEARCH("WARN",N7)))</formula>
    </cfRule>
    <cfRule type="containsText" dxfId="2" priority="17" operator="containsText" text="OK">
      <formula>NOT(ISERROR(SEARCH("OK",N7)))</formula>
    </cfRule>
  </conditionalFormatting>
  <conditionalFormatting sqref="N8">
    <cfRule type="containsText" dxfId="0" priority="18" operator="containsText" text="OVER">
      <formula>NOT(ISERROR(SEARCH("OVER",N8)))</formula>
    </cfRule>
    <cfRule type="containsText" dxfId="1" priority="19" operator="containsText" text="WARN">
      <formula>NOT(ISERROR(SEARCH("WARN",N8)))</formula>
    </cfRule>
    <cfRule type="containsText" dxfId="2" priority="20" operator="containsText" text="OK">
      <formula>NOT(ISERROR(SEARCH("OK",N8)))</formula>
    </cfRule>
  </conditionalFormatting>
  <conditionalFormatting sqref="N9">
    <cfRule type="containsText" dxfId="0" priority="21" operator="containsText" text="OVER">
      <formula>NOT(ISERROR(SEARCH("OVER",N9)))</formula>
    </cfRule>
    <cfRule type="containsText" dxfId="1" priority="22" operator="containsText" text="WARN">
      <formula>NOT(ISERROR(SEARCH("WARN",N9)))</formula>
    </cfRule>
    <cfRule type="containsText" dxfId="2" priority="23" operator="containsText" text="OK">
      <formula>NOT(ISERROR(SEARCH("OK",N9)))</formula>
    </cfRule>
  </conditionalFormatting>
  <dataValidations count="63">
    <dataValidation type="list" allowBlank="1" showInputMessage="1" showErrorMessage="1" sqref="I6">
      <formula1>"CZK,USD,EUR,NGN"</formula1>
    </dataValidation>
    <dataValidation type="list" allowBlank="1" showInputMessage="1" showErrorMessage="1" sqref="E1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0">
      <formula1>"Cash,Card,Transfer,Online"</formula1>
    </dataValidation>
    <dataValidation type="list" allowBlank="1" showInputMessage="1" showErrorMessage="1" sqref="E1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1">
      <formula1>"Cash,Card,Transfer,Online"</formula1>
    </dataValidation>
    <dataValidation type="list" allowBlank="1" showInputMessage="1" showErrorMessage="1" sqref="E1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2">
      <formula1>"Cash,Card,Transfer,Online"</formula1>
    </dataValidation>
    <dataValidation type="list" allowBlank="1" showInputMessage="1" showErrorMessage="1" sqref="E1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3">
      <formula1>"Cash,Card,Transfer,Online"</formula1>
    </dataValidation>
    <dataValidation type="list" allowBlank="1" showInputMessage="1" showErrorMessage="1" sqref="E1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4">
      <formula1>"Cash,Card,Transfer,Online"</formula1>
    </dataValidation>
    <dataValidation type="list" allowBlank="1" showInputMessage="1" showErrorMessage="1" sqref="E1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5">
      <formula1>"Cash,Card,Transfer,Online"</formula1>
    </dataValidation>
    <dataValidation type="list" allowBlank="1" showInputMessage="1" showErrorMessage="1" sqref="E1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6">
      <formula1>"Cash,Card,Transfer,Online"</formula1>
    </dataValidation>
    <dataValidation type="list" allowBlank="1" showInputMessage="1" showErrorMessage="1" sqref="E1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7">
      <formula1>"Cash,Card,Transfer,Online"</formula1>
    </dataValidation>
    <dataValidation type="list" allowBlank="1" showInputMessage="1" showErrorMessage="1" sqref="E1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8">
      <formula1>"Cash,Card,Transfer,Online"</formula1>
    </dataValidation>
    <dataValidation type="list" allowBlank="1" showInputMessage="1" showErrorMessage="1" sqref="E1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9">
      <formula1>"Cash,Card,Transfer,Online"</formula1>
    </dataValidation>
    <dataValidation type="list" allowBlank="1" showInputMessage="1" showErrorMessage="1" sqref="E2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0">
      <formula1>"Cash,Card,Transfer,Online"</formula1>
    </dataValidation>
    <dataValidation type="list" allowBlank="1" showInputMessage="1" showErrorMessage="1" sqref="E2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1">
      <formula1>"Cash,Card,Transfer,Online"</formula1>
    </dataValidation>
    <dataValidation type="list" allowBlank="1" showInputMessage="1" showErrorMessage="1" sqref="E2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2">
      <formula1>"Cash,Card,Transfer,Online"</formula1>
    </dataValidation>
    <dataValidation type="list" allowBlank="1" showInputMessage="1" showErrorMessage="1" sqref="E2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3">
      <formula1>"Cash,Card,Transfer,Online"</formula1>
    </dataValidation>
    <dataValidation type="list" allowBlank="1" showInputMessage="1" showErrorMessage="1" sqref="E2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4">
      <formula1>"Cash,Card,Transfer,Online"</formula1>
    </dataValidation>
    <dataValidation type="list" allowBlank="1" showInputMessage="1" showErrorMessage="1" sqref="E2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5">
      <formula1>"Cash,Card,Transfer,Online"</formula1>
    </dataValidation>
    <dataValidation type="list" allowBlank="1" showInputMessage="1" showErrorMessage="1" sqref="E2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6">
      <formula1>"Cash,Card,Transfer,Online"</formula1>
    </dataValidation>
    <dataValidation type="list" allowBlank="1" showInputMessage="1" showErrorMessage="1" sqref="E2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7">
      <formula1>"Cash,Card,Transfer,Online"</formula1>
    </dataValidation>
    <dataValidation type="list" allowBlank="1" showInputMessage="1" showErrorMessage="1" sqref="E2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8">
      <formula1>"Cash,Card,Transfer,Online"</formula1>
    </dataValidation>
    <dataValidation type="list" allowBlank="1" showInputMessage="1" showErrorMessage="1" sqref="E2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9">
      <formula1>"Cash,Card,Transfer,Online"</formula1>
    </dataValidation>
    <dataValidation type="list" allowBlank="1" showInputMessage="1" showErrorMessage="1" sqref="E3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0">
      <formula1>"Cash,Card,Transfer,Online"</formula1>
    </dataValidation>
    <dataValidation type="list" allowBlank="1" showInputMessage="1" showErrorMessage="1" sqref="E3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1">
      <formula1>"Cash,Card,Transfer,Online"</formula1>
    </dataValidation>
    <dataValidation type="list" allowBlank="1" showInputMessage="1" showErrorMessage="1" sqref="E3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2">
      <formula1>"Cash,Card,Transfer,Online"</formula1>
    </dataValidation>
    <dataValidation type="list" allowBlank="1" showInputMessage="1" showErrorMessage="1" sqref="E3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3">
      <formula1>"Cash,Card,Transfer,Online"</formula1>
    </dataValidation>
    <dataValidation type="list" allowBlank="1" showInputMessage="1" showErrorMessage="1" sqref="E3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4">
      <formula1>"Cash,Card,Transfer,Online"</formula1>
    </dataValidation>
    <dataValidation type="list" allowBlank="1" showInputMessage="1" showErrorMessage="1" sqref="E3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5">
      <formula1>"Cash,Card,Transfer,Online"</formula1>
    </dataValidation>
    <dataValidation type="list" allowBlank="1" showInputMessage="1" showErrorMessage="1" sqref="E3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6">
      <formula1>"Cash,Card,Transfer,Online"</formula1>
    </dataValidation>
    <dataValidation type="list" allowBlank="1" showInputMessage="1" showErrorMessage="1" sqref="E3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7">
      <formula1>"Cash,Card,Transfer,Online"</formula1>
    </dataValidation>
    <dataValidation type="list" allowBlank="1" showInputMessage="1" showErrorMessage="1" sqref="E3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8">
      <formula1>"Cash,Card,Transfer,Online"</formula1>
    </dataValidation>
    <dataValidation type="list" allowBlank="1" showInputMessage="1" showErrorMessage="1" sqref="E3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9">
      <formula1>"Cash,Card,Transfer,Online"</formula1>
    </dataValidation>
    <dataValidation type="list" allowBlank="1" showInputMessage="1" showErrorMessage="1" sqref="E4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40">
      <formula1>"Cash,Card,Transfer,Online"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4CAF50"/>
  </sheetPr>
  <dimension ref="B1:N41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/>
  <cols>
    <col min="1" max="1" width="5.7109375" customWidth="1"/>
    <col min="2" max="2" width="6.7109375" customWidth="1"/>
    <col min="3" max="3" width="14.7109375" customWidth="1"/>
    <col min="4" max="4" width="12.7109375" customWidth="1"/>
    <col min="5" max="5" width="28.7109375" customWidth="1"/>
    <col min="6" max="6" width="38.7109375" customWidth="1"/>
    <col min="7" max="7" width="20.7109375" customWidth="1"/>
    <col min="8" max="8" width="16.7109375" customWidth="1"/>
    <col min="9" max="9" width="20.7109375" customWidth="1"/>
    <col min="11" max="11" width="28.7109375" customWidth="1"/>
    <col min="12" max="13" width="18.7109375" customWidth="1"/>
    <col min="14" max="14" width="14.7109375" customWidth="1"/>
  </cols>
  <sheetData>
    <row r="1" spans="2:14" ht="45" customHeight="1">
      <c r="B1" s="105" t="s">
        <v>148</v>
      </c>
      <c r="C1" s="105"/>
      <c r="D1" s="105"/>
      <c r="E1" s="105"/>
      <c r="F1" s="105"/>
      <c r="G1" s="105"/>
      <c r="H1" s="105"/>
      <c r="I1" s="105"/>
    </row>
    <row r="2" spans="2:14">
      <c r="B2" s="106" t="s">
        <v>149</v>
      </c>
      <c r="C2" s="106"/>
      <c r="D2" s="106"/>
      <c r="E2" s="106"/>
      <c r="F2" s="106"/>
      <c r="G2" s="106"/>
      <c r="H2" s="106"/>
      <c r="I2" s="106"/>
    </row>
    <row r="4" spans="2:14">
      <c r="B4" s="107" t="s">
        <v>108</v>
      </c>
      <c r="C4" s="107"/>
      <c r="D4" s="107"/>
      <c r="F4" s="107" t="s">
        <v>112</v>
      </c>
      <c r="G4" s="107"/>
      <c r="H4" s="107"/>
      <c r="I4" s="107"/>
      <c r="K4" s="107" t="s">
        <v>150</v>
      </c>
      <c r="L4" s="107"/>
      <c r="M4" s="107"/>
      <c r="N4" s="107"/>
    </row>
    <row r="5" spans="2:14">
      <c r="B5" s="1" t="s">
        <v>109</v>
      </c>
      <c r="C5" s="20">
        <v>0</v>
      </c>
      <c r="F5" s="1" t="s">
        <v>113</v>
      </c>
      <c r="G5" s="11">
        <v>60000</v>
      </c>
      <c r="H5" s="1" t="s">
        <v>114</v>
      </c>
      <c r="I5" s="66">
        <f>Dashboard!$N$2</f>
        <v>0</v>
      </c>
      <c r="K5" s="9" t="s">
        <v>31</v>
      </c>
      <c r="L5" s="9" t="s">
        <v>32</v>
      </c>
      <c r="M5" s="9" t="s">
        <v>33</v>
      </c>
      <c r="N5" s="9" t="s">
        <v>34</v>
      </c>
    </row>
    <row r="6" spans="2:14">
      <c r="B6" s="1" t="s">
        <v>110</v>
      </c>
      <c r="C6" s="20">
        <v>0</v>
      </c>
      <c r="F6" s="1" t="s">
        <v>92</v>
      </c>
      <c r="G6" s="20">
        <v>0</v>
      </c>
      <c r="H6" s="1" t="s">
        <v>114</v>
      </c>
      <c r="I6" s="67" t="s">
        <v>5</v>
      </c>
      <c r="K6" s="24" t="s">
        <v>36</v>
      </c>
      <c r="L6" s="11">
        <f>'Monthly Budget'!D3</f>
        <v>0</v>
      </c>
      <c r="M6" s="11">
        <f>SUMIF(E:E,K6,G:G)</f>
        <v>0</v>
      </c>
      <c r="N6" s="12">
        <f>IF(M6&gt;L6,"OVER",IF(M6&gt;L6*0.9,"WARN","OK"))</f>
        <v>0</v>
      </c>
    </row>
    <row r="7" spans="2:14">
      <c r="B7" s="1" t="s">
        <v>111</v>
      </c>
      <c r="C7" s="22">
        <f>C6-C5</f>
        <v>0</v>
      </c>
      <c r="F7" s="1" t="s">
        <v>93</v>
      </c>
      <c r="G7" s="22">
        <f>G5+G6</f>
        <v>0</v>
      </c>
      <c r="K7" s="25" t="s">
        <v>37</v>
      </c>
      <c r="L7" s="11">
        <f>'Monthly Budget'!D4</f>
        <v>0</v>
      </c>
      <c r="M7" s="11">
        <f>SUMIF(E:E,K7,G:G)</f>
        <v>0</v>
      </c>
      <c r="N7" s="12">
        <f>IF(M7&gt;L7,"OVER",IF(M7&gt;L7*0.9,"WARN","OK"))</f>
        <v>0</v>
      </c>
    </row>
    <row r="8" spans="2:14">
      <c r="K8" s="27" t="s">
        <v>38</v>
      </c>
      <c r="L8" s="11">
        <f>'Monthly Budget'!D5</f>
        <v>0</v>
      </c>
      <c r="M8" s="11">
        <f>SUMIF(E:E,K8,G:G)</f>
        <v>0</v>
      </c>
      <c r="N8" s="12">
        <f>IF(M8&gt;L8,"OVER",IF(M8&gt;L8*0.9,"WARN","OK"))</f>
        <v>0</v>
      </c>
    </row>
    <row r="9" spans="2:14">
      <c r="B9" s="107" t="s">
        <v>95</v>
      </c>
      <c r="C9" s="107" t="s">
        <v>115</v>
      </c>
      <c r="D9" s="107" t="s">
        <v>116</v>
      </c>
      <c r="E9" s="107" t="s">
        <v>31</v>
      </c>
      <c r="F9" s="107" t="s">
        <v>117</v>
      </c>
      <c r="G9" s="107" t="s">
        <v>118</v>
      </c>
      <c r="H9" s="107" t="s">
        <v>119</v>
      </c>
      <c r="I9" s="107" t="s">
        <v>120</v>
      </c>
      <c r="K9" s="29" t="s">
        <v>39</v>
      </c>
      <c r="L9" s="11">
        <f>'Monthly Budget'!D6</f>
        <v>0</v>
      </c>
      <c r="M9" s="11">
        <f>SUMIF(E:E,K9,G:G)</f>
        <v>0</v>
      </c>
      <c r="N9" s="12">
        <f>IF(M9&gt;L9,"OVER",IF(M9&gt;L9*0.9,"WARN","OK"))</f>
        <v>0</v>
      </c>
    </row>
    <row r="10" spans="2:14">
      <c r="B10" s="12">
        <v>1</v>
      </c>
      <c r="C10" s="71">
        <v>46235</v>
      </c>
      <c r="D10" s="72" t="s">
        <v>123</v>
      </c>
      <c r="E10" s="70"/>
      <c r="F10" s="70"/>
      <c r="G10" s="20"/>
      <c r="H10" s="70"/>
      <c r="I10" s="11">
        <f>G10</f>
        <v>0</v>
      </c>
      <c r="K10" s="30" t="s">
        <v>40</v>
      </c>
      <c r="L10" s="11">
        <f>'Monthly Budget'!D7</f>
        <v>0</v>
      </c>
      <c r="M10" s="11">
        <f>SUMIF(E:E,K10,G:G)</f>
        <v>0</v>
      </c>
      <c r="N10" s="12">
        <f>IF(M10&gt;L10,"OVER",IF(M10&gt;L10*0.9,"WARN","OK"))</f>
        <v>0</v>
      </c>
    </row>
    <row r="11" spans="2:14">
      <c r="B11" s="12">
        <v>2</v>
      </c>
      <c r="C11" s="71">
        <v>46236</v>
      </c>
      <c r="D11" s="72" t="s">
        <v>124</v>
      </c>
      <c r="E11" s="70"/>
      <c r="F11" s="70"/>
      <c r="G11" s="20"/>
      <c r="H11" s="70"/>
      <c r="I11" s="11">
        <f>I10+G11</f>
        <v>0</v>
      </c>
      <c r="K11" s="31" t="s">
        <v>41</v>
      </c>
      <c r="L11" s="11">
        <f>'Monthly Budget'!D8</f>
        <v>0</v>
      </c>
      <c r="M11" s="11">
        <f>SUMIF(E:E,K11,G:G)</f>
        <v>0</v>
      </c>
      <c r="N11" s="12">
        <f>IF(M11&gt;L11,"OVER",IF(M11&gt;L11*0.9,"WARN","OK"))</f>
        <v>0</v>
      </c>
    </row>
    <row r="12" spans="2:14">
      <c r="B12" s="12">
        <v>3</v>
      </c>
      <c r="C12" s="68">
        <v>46237</v>
      </c>
      <c r="D12" s="69" t="s">
        <v>125</v>
      </c>
      <c r="E12" s="70"/>
      <c r="F12" s="70"/>
      <c r="G12" s="20"/>
      <c r="H12" s="70"/>
      <c r="I12" s="11">
        <f>I11+G12</f>
        <v>0</v>
      </c>
      <c r="K12" s="33" t="s">
        <v>42</v>
      </c>
      <c r="L12" s="11">
        <f>'Monthly Budget'!D9</f>
        <v>0</v>
      </c>
      <c r="M12" s="11">
        <f>SUMIF(E:E,K12,G:G)</f>
        <v>0</v>
      </c>
      <c r="N12" s="12">
        <f>IF(M12&gt;L12,"OVER",IF(M12&gt;L12*0.9,"WARN","OK"))</f>
        <v>0</v>
      </c>
    </row>
    <row r="13" spans="2:14">
      <c r="B13" s="12">
        <v>4</v>
      </c>
      <c r="C13" s="68">
        <v>46238</v>
      </c>
      <c r="D13" s="69" t="s">
        <v>126</v>
      </c>
      <c r="E13" s="70"/>
      <c r="F13" s="70"/>
      <c r="G13" s="20"/>
      <c r="H13" s="70"/>
      <c r="I13" s="11">
        <f>I12+G13</f>
        <v>0</v>
      </c>
      <c r="K13" s="38" t="s">
        <v>43</v>
      </c>
      <c r="L13" s="11">
        <f>'Monthly Budget'!D10</f>
        <v>0</v>
      </c>
      <c r="M13" s="11">
        <f>SUMIF(E:E,K13,G:G)</f>
        <v>0</v>
      </c>
      <c r="N13" s="12">
        <f>IF(M13&gt;L13,"OVER",IF(M13&gt;L13*0.9,"WARN","OK"))</f>
        <v>0</v>
      </c>
    </row>
    <row r="14" spans="2:14">
      <c r="B14" s="12">
        <v>5</v>
      </c>
      <c r="C14" s="68">
        <v>46239</v>
      </c>
      <c r="D14" s="69" t="s">
        <v>127</v>
      </c>
      <c r="E14" s="70"/>
      <c r="F14" s="70"/>
      <c r="G14" s="20"/>
      <c r="H14" s="70"/>
      <c r="I14" s="11">
        <f>I13+G14</f>
        <v>0</v>
      </c>
      <c r="K14" s="59" t="s">
        <v>83</v>
      </c>
      <c r="L14" s="11">
        <f>'Monthly Budget'!D11</f>
        <v>0</v>
      </c>
      <c r="M14" s="11">
        <f>SUMIF(E:E,K14,G:G)</f>
        <v>0</v>
      </c>
      <c r="N14" s="12">
        <f>IF(M14&gt;L14,"OVER",IF(M14&gt;L14*0.9,"WARN","OK"))</f>
        <v>0</v>
      </c>
    </row>
    <row r="15" spans="2:14">
      <c r="B15" s="12">
        <v>6</v>
      </c>
      <c r="C15" s="68">
        <v>46240</v>
      </c>
      <c r="D15" s="69" t="s">
        <v>121</v>
      </c>
      <c r="E15" s="70"/>
      <c r="F15" s="70"/>
      <c r="G15" s="20"/>
      <c r="H15" s="70"/>
      <c r="I15" s="11">
        <f>I14+G15</f>
        <v>0</v>
      </c>
      <c r="K15" s="60" t="s">
        <v>84</v>
      </c>
      <c r="L15" s="11">
        <f>'Monthly Budget'!D12</f>
        <v>0</v>
      </c>
      <c r="M15" s="11">
        <f>SUMIF(E:E,K15,G:G)</f>
        <v>0</v>
      </c>
      <c r="N15" s="12">
        <f>IF(M15&gt;L15,"OVER",IF(M15&gt;L15*0.9,"WARN","OK"))</f>
        <v>0</v>
      </c>
    </row>
    <row r="16" spans="2:14">
      <c r="B16" s="12">
        <v>7</v>
      </c>
      <c r="C16" s="68">
        <v>46241</v>
      </c>
      <c r="D16" s="69" t="s">
        <v>122</v>
      </c>
      <c r="E16" s="70"/>
      <c r="F16" s="70"/>
      <c r="G16" s="20"/>
      <c r="H16" s="70"/>
      <c r="I16" s="11">
        <f>I15+G16</f>
        <v>0</v>
      </c>
      <c r="K16" s="61" t="s">
        <v>85</v>
      </c>
      <c r="L16" s="11">
        <f>'Monthly Budget'!D13</f>
        <v>0</v>
      </c>
      <c r="M16" s="11">
        <f>SUMIF(E:E,K16,G:G)</f>
        <v>0</v>
      </c>
      <c r="N16" s="12">
        <f>IF(M16&gt;L16,"OVER",IF(M16&gt;L16*0.9,"WARN","OK"))</f>
        <v>0</v>
      </c>
    </row>
    <row r="17" spans="2:13">
      <c r="B17" s="12">
        <v>8</v>
      </c>
      <c r="C17" s="71">
        <v>46242</v>
      </c>
      <c r="D17" s="72" t="s">
        <v>123</v>
      </c>
      <c r="E17" s="70"/>
      <c r="F17" s="70"/>
      <c r="G17" s="20"/>
      <c r="H17" s="70"/>
      <c r="I17" s="11">
        <f>I16+G17</f>
        <v>0</v>
      </c>
      <c r="K17" s="52" t="s">
        <v>65</v>
      </c>
      <c r="L17" s="22">
        <f>SUM(L6:L16)</f>
        <v>0</v>
      </c>
      <c r="M17" s="22">
        <f>SUM(M6:M16)</f>
        <v>0</v>
      </c>
    </row>
    <row r="18" spans="2:13">
      <c r="B18" s="12">
        <v>9</v>
      </c>
      <c r="C18" s="71">
        <v>46243</v>
      </c>
      <c r="D18" s="72" t="s">
        <v>124</v>
      </c>
      <c r="E18" s="70"/>
      <c r="F18" s="70"/>
      <c r="G18" s="20"/>
      <c r="H18" s="70"/>
      <c r="I18" s="11">
        <f>I17+G18</f>
        <v>0</v>
      </c>
    </row>
    <row r="19" spans="2:13">
      <c r="B19" s="12">
        <v>10</v>
      </c>
      <c r="C19" s="68">
        <v>46244</v>
      </c>
      <c r="D19" s="69" t="s">
        <v>125</v>
      </c>
      <c r="E19" s="70"/>
      <c r="F19" s="70"/>
      <c r="G19" s="20"/>
      <c r="H19" s="70"/>
      <c r="I19" s="11">
        <f>I18+G19</f>
        <v>0</v>
      </c>
    </row>
    <row r="20" spans="2:13">
      <c r="B20" s="12">
        <v>11</v>
      </c>
      <c r="C20" s="68">
        <v>46245</v>
      </c>
      <c r="D20" s="69" t="s">
        <v>126</v>
      </c>
      <c r="E20" s="70"/>
      <c r="F20" s="70"/>
      <c r="G20" s="20"/>
      <c r="H20" s="70"/>
      <c r="I20" s="11">
        <f>I19+G20</f>
        <v>0</v>
      </c>
    </row>
    <row r="21" spans="2:13">
      <c r="B21" s="12">
        <v>12</v>
      </c>
      <c r="C21" s="68">
        <v>46246</v>
      </c>
      <c r="D21" s="69" t="s">
        <v>127</v>
      </c>
      <c r="E21" s="70"/>
      <c r="F21" s="70"/>
      <c r="G21" s="20"/>
      <c r="H21" s="70"/>
      <c r="I21" s="11">
        <f>I20+G21</f>
        <v>0</v>
      </c>
    </row>
    <row r="22" spans="2:13">
      <c r="B22" s="12">
        <v>13</v>
      </c>
      <c r="C22" s="68">
        <v>46247</v>
      </c>
      <c r="D22" s="69" t="s">
        <v>121</v>
      </c>
      <c r="E22" s="70"/>
      <c r="F22" s="70"/>
      <c r="G22" s="20"/>
      <c r="H22" s="70"/>
      <c r="I22" s="11">
        <f>I21+G22</f>
        <v>0</v>
      </c>
    </row>
    <row r="23" spans="2:13">
      <c r="B23" s="12">
        <v>14</v>
      </c>
      <c r="C23" s="68">
        <v>46248</v>
      </c>
      <c r="D23" s="69" t="s">
        <v>122</v>
      </c>
      <c r="E23" s="70"/>
      <c r="F23" s="70"/>
      <c r="G23" s="20"/>
      <c r="H23" s="70"/>
      <c r="I23" s="11">
        <f>I22+G23</f>
        <v>0</v>
      </c>
    </row>
    <row r="24" spans="2:13">
      <c r="B24" s="12">
        <v>15</v>
      </c>
      <c r="C24" s="71">
        <v>46249</v>
      </c>
      <c r="D24" s="72" t="s">
        <v>123</v>
      </c>
      <c r="E24" s="70"/>
      <c r="F24" s="70"/>
      <c r="G24" s="20"/>
      <c r="H24" s="70"/>
      <c r="I24" s="11">
        <f>I23+G24</f>
        <v>0</v>
      </c>
    </row>
    <row r="25" spans="2:13">
      <c r="B25" s="12">
        <v>16</v>
      </c>
      <c r="C25" s="71">
        <v>46250</v>
      </c>
      <c r="D25" s="72" t="s">
        <v>124</v>
      </c>
      <c r="E25" s="70"/>
      <c r="F25" s="70"/>
      <c r="G25" s="20"/>
      <c r="H25" s="70"/>
      <c r="I25" s="11">
        <f>I24+G25</f>
        <v>0</v>
      </c>
    </row>
    <row r="26" spans="2:13">
      <c r="B26" s="12">
        <v>17</v>
      </c>
      <c r="C26" s="68">
        <v>46251</v>
      </c>
      <c r="D26" s="69" t="s">
        <v>125</v>
      </c>
      <c r="E26" s="70"/>
      <c r="F26" s="70"/>
      <c r="G26" s="20"/>
      <c r="H26" s="70"/>
      <c r="I26" s="11">
        <f>I25+G26</f>
        <v>0</v>
      </c>
    </row>
    <row r="27" spans="2:13">
      <c r="B27" s="12">
        <v>18</v>
      </c>
      <c r="C27" s="68">
        <v>46252</v>
      </c>
      <c r="D27" s="69" t="s">
        <v>126</v>
      </c>
      <c r="E27" s="70"/>
      <c r="F27" s="70"/>
      <c r="G27" s="20"/>
      <c r="H27" s="70"/>
      <c r="I27" s="11">
        <f>I26+G27</f>
        <v>0</v>
      </c>
    </row>
    <row r="28" spans="2:13">
      <c r="B28" s="12">
        <v>19</v>
      </c>
      <c r="C28" s="68">
        <v>46253</v>
      </c>
      <c r="D28" s="69" t="s">
        <v>127</v>
      </c>
      <c r="E28" s="70"/>
      <c r="F28" s="70"/>
      <c r="G28" s="20"/>
      <c r="H28" s="70"/>
      <c r="I28" s="11">
        <f>I27+G28</f>
        <v>0</v>
      </c>
    </row>
    <row r="29" spans="2:13">
      <c r="B29" s="12">
        <v>20</v>
      </c>
      <c r="C29" s="68">
        <v>46254</v>
      </c>
      <c r="D29" s="69" t="s">
        <v>121</v>
      </c>
      <c r="E29" s="70"/>
      <c r="F29" s="70"/>
      <c r="G29" s="20"/>
      <c r="H29" s="70"/>
      <c r="I29" s="11">
        <f>I28+G29</f>
        <v>0</v>
      </c>
    </row>
    <row r="30" spans="2:13">
      <c r="B30" s="12">
        <v>21</v>
      </c>
      <c r="C30" s="68">
        <v>46255</v>
      </c>
      <c r="D30" s="69" t="s">
        <v>122</v>
      </c>
      <c r="E30" s="70"/>
      <c r="F30" s="70"/>
      <c r="G30" s="20"/>
      <c r="H30" s="70"/>
      <c r="I30" s="11">
        <f>I29+G30</f>
        <v>0</v>
      </c>
    </row>
    <row r="31" spans="2:13">
      <c r="B31" s="12">
        <v>22</v>
      </c>
      <c r="C31" s="71">
        <v>46256</v>
      </c>
      <c r="D31" s="72" t="s">
        <v>123</v>
      </c>
      <c r="E31" s="70"/>
      <c r="F31" s="70"/>
      <c r="G31" s="20"/>
      <c r="H31" s="70"/>
      <c r="I31" s="11">
        <f>I30+G31</f>
        <v>0</v>
      </c>
    </row>
    <row r="32" spans="2:13">
      <c r="B32" s="12">
        <v>23</v>
      </c>
      <c r="C32" s="71">
        <v>46257</v>
      </c>
      <c r="D32" s="72" t="s">
        <v>124</v>
      </c>
      <c r="E32" s="70"/>
      <c r="F32" s="70"/>
      <c r="G32" s="20"/>
      <c r="H32" s="70"/>
      <c r="I32" s="11">
        <f>I31+G32</f>
        <v>0</v>
      </c>
    </row>
    <row r="33" spans="2:9">
      <c r="B33" s="12">
        <v>24</v>
      </c>
      <c r="C33" s="68">
        <v>46258</v>
      </c>
      <c r="D33" s="69" t="s">
        <v>125</v>
      </c>
      <c r="E33" s="70"/>
      <c r="F33" s="70"/>
      <c r="G33" s="20"/>
      <c r="H33" s="70"/>
      <c r="I33" s="11">
        <f>I32+G33</f>
        <v>0</v>
      </c>
    </row>
    <row r="34" spans="2:9">
      <c r="B34" s="12">
        <v>25</v>
      </c>
      <c r="C34" s="68">
        <v>46259</v>
      </c>
      <c r="D34" s="69" t="s">
        <v>126</v>
      </c>
      <c r="E34" s="70"/>
      <c r="F34" s="70"/>
      <c r="G34" s="20"/>
      <c r="H34" s="70"/>
      <c r="I34" s="11">
        <f>I33+G34</f>
        <v>0</v>
      </c>
    </row>
    <row r="35" spans="2:9">
      <c r="B35" s="12">
        <v>26</v>
      </c>
      <c r="C35" s="68">
        <v>46260</v>
      </c>
      <c r="D35" s="69" t="s">
        <v>127</v>
      </c>
      <c r="E35" s="70"/>
      <c r="F35" s="70"/>
      <c r="G35" s="20"/>
      <c r="H35" s="70"/>
      <c r="I35" s="11">
        <f>I34+G35</f>
        <v>0</v>
      </c>
    </row>
    <row r="36" spans="2:9">
      <c r="B36" s="12">
        <v>27</v>
      </c>
      <c r="C36" s="68">
        <v>46261</v>
      </c>
      <c r="D36" s="69" t="s">
        <v>121</v>
      </c>
      <c r="E36" s="70"/>
      <c r="F36" s="70"/>
      <c r="G36" s="20"/>
      <c r="H36" s="70"/>
      <c r="I36" s="11">
        <f>I35+G36</f>
        <v>0</v>
      </c>
    </row>
    <row r="37" spans="2:9">
      <c r="B37" s="12">
        <v>28</v>
      </c>
      <c r="C37" s="68">
        <v>46262</v>
      </c>
      <c r="D37" s="69" t="s">
        <v>122</v>
      </c>
      <c r="E37" s="70"/>
      <c r="F37" s="70"/>
      <c r="G37" s="20"/>
      <c r="H37" s="70"/>
      <c r="I37" s="11">
        <f>I36+G37</f>
        <v>0</v>
      </c>
    </row>
    <row r="38" spans="2:9">
      <c r="B38" s="12">
        <v>29</v>
      </c>
      <c r="C38" s="71">
        <v>46263</v>
      </c>
      <c r="D38" s="72" t="s">
        <v>123</v>
      </c>
      <c r="E38" s="70"/>
      <c r="F38" s="70"/>
      <c r="G38" s="20"/>
      <c r="H38" s="70"/>
      <c r="I38" s="11">
        <f>I37+G38</f>
        <v>0</v>
      </c>
    </row>
    <row r="39" spans="2:9">
      <c r="B39" s="12">
        <v>30</v>
      </c>
      <c r="C39" s="71">
        <v>46264</v>
      </c>
      <c r="D39" s="72" t="s">
        <v>124</v>
      </c>
      <c r="E39" s="70"/>
      <c r="F39" s="70"/>
      <c r="G39" s="20"/>
      <c r="H39" s="70"/>
      <c r="I39" s="11">
        <f>I38+G39</f>
        <v>0</v>
      </c>
    </row>
    <row r="40" spans="2:9">
      <c r="B40" s="12">
        <v>31</v>
      </c>
      <c r="C40" s="68">
        <v>46265</v>
      </c>
      <c r="D40" s="69" t="s">
        <v>125</v>
      </c>
      <c r="E40" s="70"/>
      <c r="F40" s="70"/>
      <c r="G40" s="20"/>
      <c r="H40" s="70"/>
      <c r="I40" s="11">
        <f>I39+G40</f>
        <v>0</v>
      </c>
    </row>
    <row r="41" spans="2:9">
      <c r="F41" s="108" t="s">
        <v>128</v>
      </c>
      <c r="G41" s="109">
        <f>SUM(G10:G40)</f>
        <v>0</v>
      </c>
    </row>
  </sheetData>
  <mergeCells count="5">
    <mergeCell ref="B1:I1"/>
    <mergeCell ref="B2:I2"/>
    <mergeCell ref="B4:D4"/>
    <mergeCell ref="F4:I4"/>
    <mergeCell ref="K4:N4"/>
  </mergeCells>
  <conditionalFormatting sqref="E10:E40">
    <cfRule type="containsText" dxfId="3" priority="1" operator="containsText" text="Rent + Utilities">
      <formula>NOT(ISERROR(SEARCH("Rent + Utilities",E10)))</formula>
    </cfRule>
    <cfRule type="containsText" dxfId="4" priority="2" operator="containsText" text="Electricity Deposit">
      <formula>NOT(ISERROR(SEARCH("Electricity Deposit",E10)))</formula>
    </cfRule>
    <cfRule type="containsText" dxfId="5" priority="3" operator="containsText" text="Internet &amp; Phone Bills">
      <formula>NOT(ISERROR(SEARCH("Internet &amp; Phone Bills",E10)))</formula>
    </cfRule>
    <cfRule type="containsText" dxfId="6" priority="4" operator="containsText" text="Food &amp; Groceries">
      <formula>NOT(ISERROR(SEARCH("Food &amp; Groceries",E10)))</formula>
    </cfRule>
    <cfRule type="containsText" dxfId="7" priority="5" operator="containsText" text="Investments">
      <formula>NOT(ISERROR(SEARCH("Investments",E10)))</formula>
    </cfRule>
    <cfRule type="containsText" dxfId="8" priority="6" operator="containsText" text="Date Nights">
      <formula>NOT(ISERROR(SEARCH("Date Nights",E10)))</formula>
    </cfRule>
    <cfRule type="containsText" dxfId="9" priority="7" operator="containsText" text="Annual Costs Savings">
      <formula>NOT(ISERROR(SEARCH("Annual Costs Savings",E10)))</formula>
    </cfRule>
    <cfRule type="containsText" dxfId="10" priority="8" operator="containsText" text="Emergency Buffer">
      <formula>NOT(ISERROR(SEARCH("Emergency Buffer",E10)))</formula>
    </cfRule>
    <cfRule type="containsText" dxfId="11" priority="9" operator="containsText" text="Personal Care">
      <formula>NOT(ISERROR(SEARCH("Personal Care",E10)))</formula>
    </cfRule>
    <cfRule type="containsText" dxfId="12" priority="10" operator="containsText" text="Personal Savings">
      <formula>NOT(ISERROR(SEARCH("Personal Savings",E10)))</formula>
    </cfRule>
    <cfRule type="containsText" dxfId="13" priority="11" operator="containsText" text="Miscellaneous">
      <formula>NOT(ISERROR(SEARCH("Miscellaneous",E10)))</formula>
    </cfRule>
  </conditionalFormatting>
  <conditionalFormatting sqref="N10">
    <cfRule type="containsText" dxfId="0" priority="24" operator="containsText" text="OVER">
      <formula>NOT(ISERROR(SEARCH("OVER",N10)))</formula>
    </cfRule>
    <cfRule type="containsText" dxfId="1" priority="25" operator="containsText" text="WARN">
      <formula>NOT(ISERROR(SEARCH("WARN",N10)))</formula>
    </cfRule>
    <cfRule type="containsText" dxfId="2" priority="26" operator="containsText" text="OK">
      <formula>NOT(ISERROR(SEARCH("OK",N10)))</formula>
    </cfRule>
  </conditionalFormatting>
  <conditionalFormatting sqref="N11">
    <cfRule type="containsText" dxfId="0" priority="27" operator="containsText" text="OVER">
      <formula>NOT(ISERROR(SEARCH("OVER",N11)))</formula>
    </cfRule>
    <cfRule type="containsText" dxfId="1" priority="28" operator="containsText" text="WARN">
      <formula>NOT(ISERROR(SEARCH("WARN",N11)))</formula>
    </cfRule>
    <cfRule type="containsText" dxfId="2" priority="29" operator="containsText" text="OK">
      <formula>NOT(ISERROR(SEARCH("OK",N11)))</formula>
    </cfRule>
  </conditionalFormatting>
  <conditionalFormatting sqref="N12">
    <cfRule type="containsText" dxfId="0" priority="30" operator="containsText" text="OVER">
      <formula>NOT(ISERROR(SEARCH("OVER",N12)))</formula>
    </cfRule>
    <cfRule type="containsText" dxfId="1" priority="31" operator="containsText" text="WARN">
      <formula>NOT(ISERROR(SEARCH("WARN",N12)))</formula>
    </cfRule>
    <cfRule type="containsText" dxfId="2" priority="32" operator="containsText" text="OK">
      <formula>NOT(ISERROR(SEARCH("OK",N12)))</formula>
    </cfRule>
  </conditionalFormatting>
  <conditionalFormatting sqref="N13">
    <cfRule type="containsText" dxfId="0" priority="33" operator="containsText" text="OVER">
      <formula>NOT(ISERROR(SEARCH("OVER",N13)))</formula>
    </cfRule>
    <cfRule type="containsText" dxfId="1" priority="34" operator="containsText" text="WARN">
      <formula>NOT(ISERROR(SEARCH("WARN",N13)))</formula>
    </cfRule>
    <cfRule type="containsText" dxfId="2" priority="35" operator="containsText" text="OK">
      <formula>NOT(ISERROR(SEARCH("OK",N13)))</formula>
    </cfRule>
  </conditionalFormatting>
  <conditionalFormatting sqref="N14">
    <cfRule type="containsText" dxfId="0" priority="36" operator="containsText" text="OVER">
      <formula>NOT(ISERROR(SEARCH("OVER",N14)))</formula>
    </cfRule>
    <cfRule type="containsText" dxfId="1" priority="37" operator="containsText" text="WARN">
      <formula>NOT(ISERROR(SEARCH("WARN",N14)))</formula>
    </cfRule>
    <cfRule type="containsText" dxfId="2" priority="38" operator="containsText" text="OK">
      <formula>NOT(ISERROR(SEARCH("OK",N14)))</formula>
    </cfRule>
  </conditionalFormatting>
  <conditionalFormatting sqref="N15">
    <cfRule type="containsText" dxfId="0" priority="39" operator="containsText" text="OVER">
      <formula>NOT(ISERROR(SEARCH("OVER",N15)))</formula>
    </cfRule>
    <cfRule type="containsText" dxfId="1" priority="40" operator="containsText" text="WARN">
      <formula>NOT(ISERROR(SEARCH("WARN",N15)))</formula>
    </cfRule>
    <cfRule type="containsText" dxfId="2" priority="41" operator="containsText" text="OK">
      <formula>NOT(ISERROR(SEARCH("OK",N15)))</formula>
    </cfRule>
  </conditionalFormatting>
  <conditionalFormatting sqref="N16">
    <cfRule type="containsText" dxfId="0" priority="42" operator="containsText" text="OVER">
      <formula>NOT(ISERROR(SEARCH("OVER",N16)))</formula>
    </cfRule>
    <cfRule type="containsText" dxfId="1" priority="43" operator="containsText" text="WARN">
      <formula>NOT(ISERROR(SEARCH("WARN",N16)))</formula>
    </cfRule>
    <cfRule type="containsText" dxfId="2" priority="44" operator="containsText" text="OK">
      <formula>NOT(ISERROR(SEARCH("OK",N16)))</formula>
    </cfRule>
  </conditionalFormatting>
  <conditionalFormatting sqref="N6">
    <cfRule type="containsText" dxfId="0" priority="12" operator="containsText" text="OVER">
      <formula>NOT(ISERROR(SEARCH("OVER",N6)))</formula>
    </cfRule>
    <cfRule type="containsText" dxfId="1" priority="13" operator="containsText" text="WARN">
      <formula>NOT(ISERROR(SEARCH("WARN",N6)))</formula>
    </cfRule>
    <cfRule type="containsText" dxfId="2" priority="14" operator="containsText" text="OK">
      <formula>NOT(ISERROR(SEARCH("OK",N6)))</formula>
    </cfRule>
  </conditionalFormatting>
  <conditionalFormatting sqref="N7">
    <cfRule type="containsText" dxfId="0" priority="15" operator="containsText" text="OVER">
      <formula>NOT(ISERROR(SEARCH("OVER",N7)))</formula>
    </cfRule>
    <cfRule type="containsText" dxfId="1" priority="16" operator="containsText" text="WARN">
      <formula>NOT(ISERROR(SEARCH("WARN",N7)))</formula>
    </cfRule>
    <cfRule type="containsText" dxfId="2" priority="17" operator="containsText" text="OK">
      <formula>NOT(ISERROR(SEARCH("OK",N7)))</formula>
    </cfRule>
  </conditionalFormatting>
  <conditionalFormatting sqref="N8">
    <cfRule type="containsText" dxfId="0" priority="18" operator="containsText" text="OVER">
      <formula>NOT(ISERROR(SEARCH("OVER",N8)))</formula>
    </cfRule>
    <cfRule type="containsText" dxfId="1" priority="19" operator="containsText" text="WARN">
      <formula>NOT(ISERROR(SEARCH("WARN",N8)))</formula>
    </cfRule>
    <cfRule type="containsText" dxfId="2" priority="20" operator="containsText" text="OK">
      <formula>NOT(ISERROR(SEARCH("OK",N8)))</formula>
    </cfRule>
  </conditionalFormatting>
  <conditionalFormatting sqref="N9">
    <cfRule type="containsText" dxfId="0" priority="21" operator="containsText" text="OVER">
      <formula>NOT(ISERROR(SEARCH("OVER",N9)))</formula>
    </cfRule>
    <cfRule type="containsText" dxfId="1" priority="22" operator="containsText" text="WARN">
      <formula>NOT(ISERROR(SEARCH("WARN",N9)))</formula>
    </cfRule>
    <cfRule type="containsText" dxfId="2" priority="23" operator="containsText" text="OK">
      <formula>NOT(ISERROR(SEARCH("OK",N9)))</formula>
    </cfRule>
  </conditionalFormatting>
  <dataValidations count="63">
    <dataValidation type="list" allowBlank="1" showInputMessage="1" showErrorMessage="1" sqref="I6">
      <formula1>"CZK,USD,EUR,NGN"</formula1>
    </dataValidation>
    <dataValidation type="list" allowBlank="1" showInputMessage="1" showErrorMessage="1" sqref="E1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0">
      <formula1>"Cash,Card,Transfer,Online"</formula1>
    </dataValidation>
    <dataValidation type="list" allowBlank="1" showInputMessage="1" showErrorMessage="1" sqref="E1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1">
      <formula1>"Cash,Card,Transfer,Online"</formula1>
    </dataValidation>
    <dataValidation type="list" allowBlank="1" showInputMessage="1" showErrorMessage="1" sqref="E1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2">
      <formula1>"Cash,Card,Transfer,Online"</formula1>
    </dataValidation>
    <dataValidation type="list" allowBlank="1" showInputMessage="1" showErrorMessage="1" sqref="E1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3">
      <formula1>"Cash,Card,Transfer,Online"</formula1>
    </dataValidation>
    <dataValidation type="list" allowBlank="1" showInputMessage="1" showErrorMessage="1" sqref="E1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4">
      <formula1>"Cash,Card,Transfer,Online"</formula1>
    </dataValidation>
    <dataValidation type="list" allowBlank="1" showInputMessage="1" showErrorMessage="1" sqref="E1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5">
      <formula1>"Cash,Card,Transfer,Online"</formula1>
    </dataValidation>
    <dataValidation type="list" allowBlank="1" showInputMessage="1" showErrorMessage="1" sqref="E1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6">
      <formula1>"Cash,Card,Transfer,Online"</formula1>
    </dataValidation>
    <dataValidation type="list" allowBlank="1" showInputMessage="1" showErrorMessage="1" sqref="E1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7">
      <formula1>"Cash,Card,Transfer,Online"</formula1>
    </dataValidation>
    <dataValidation type="list" allowBlank="1" showInputMessage="1" showErrorMessage="1" sqref="E1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8">
      <formula1>"Cash,Card,Transfer,Online"</formula1>
    </dataValidation>
    <dataValidation type="list" allowBlank="1" showInputMessage="1" showErrorMessage="1" sqref="E1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9">
      <formula1>"Cash,Card,Transfer,Online"</formula1>
    </dataValidation>
    <dataValidation type="list" allowBlank="1" showInputMessage="1" showErrorMessage="1" sqref="E2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0">
      <formula1>"Cash,Card,Transfer,Online"</formula1>
    </dataValidation>
    <dataValidation type="list" allowBlank="1" showInputMessage="1" showErrorMessage="1" sqref="E2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1">
      <formula1>"Cash,Card,Transfer,Online"</formula1>
    </dataValidation>
    <dataValidation type="list" allowBlank="1" showInputMessage="1" showErrorMessage="1" sqref="E2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2">
      <formula1>"Cash,Card,Transfer,Online"</formula1>
    </dataValidation>
    <dataValidation type="list" allowBlank="1" showInputMessage="1" showErrorMessage="1" sqref="E2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3">
      <formula1>"Cash,Card,Transfer,Online"</formula1>
    </dataValidation>
    <dataValidation type="list" allowBlank="1" showInputMessage="1" showErrorMessage="1" sqref="E2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4">
      <formula1>"Cash,Card,Transfer,Online"</formula1>
    </dataValidation>
    <dataValidation type="list" allowBlank="1" showInputMessage="1" showErrorMessage="1" sqref="E2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5">
      <formula1>"Cash,Card,Transfer,Online"</formula1>
    </dataValidation>
    <dataValidation type="list" allowBlank="1" showInputMessage="1" showErrorMessage="1" sqref="E2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6">
      <formula1>"Cash,Card,Transfer,Online"</formula1>
    </dataValidation>
    <dataValidation type="list" allowBlank="1" showInputMessage="1" showErrorMessage="1" sqref="E2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7">
      <formula1>"Cash,Card,Transfer,Online"</formula1>
    </dataValidation>
    <dataValidation type="list" allowBlank="1" showInputMessage="1" showErrorMessage="1" sqref="E2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8">
      <formula1>"Cash,Card,Transfer,Online"</formula1>
    </dataValidation>
    <dataValidation type="list" allowBlank="1" showInputMessage="1" showErrorMessage="1" sqref="E2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9">
      <formula1>"Cash,Card,Transfer,Online"</formula1>
    </dataValidation>
    <dataValidation type="list" allowBlank="1" showInputMessage="1" showErrorMessage="1" sqref="E3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0">
      <formula1>"Cash,Card,Transfer,Online"</formula1>
    </dataValidation>
    <dataValidation type="list" allowBlank="1" showInputMessage="1" showErrorMessage="1" sqref="E3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1">
      <formula1>"Cash,Card,Transfer,Online"</formula1>
    </dataValidation>
    <dataValidation type="list" allowBlank="1" showInputMessage="1" showErrorMessage="1" sqref="E3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2">
      <formula1>"Cash,Card,Transfer,Online"</formula1>
    </dataValidation>
    <dataValidation type="list" allowBlank="1" showInputMessage="1" showErrorMessage="1" sqref="E3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3">
      <formula1>"Cash,Card,Transfer,Online"</formula1>
    </dataValidation>
    <dataValidation type="list" allowBlank="1" showInputMessage="1" showErrorMessage="1" sqref="E3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4">
      <formula1>"Cash,Card,Transfer,Online"</formula1>
    </dataValidation>
    <dataValidation type="list" allowBlank="1" showInputMessage="1" showErrorMessage="1" sqref="E3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5">
      <formula1>"Cash,Card,Transfer,Online"</formula1>
    </dataValidation>
    <dataValidation type="list" allowBlank="1" showInputMessage="1" showErrorMessage="1" sqref="E3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6">
      <formula1>"Cash,Card,Transfer,Online"</formula1>
    </dataValidation>
    <dataValidation type="list" allowBlank="1" showInputMessage="1" showErrorMessage="1" sqref="E3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7">
      <formula1>"Cash,Card,Transfer,Online"</formula1>
    </dataValidation>
    <dataValidation type="list" allowBlank="1" showInputMessage="1" showErrorMessage="1" sqref="E3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8">
      <formula1>"Cash,Card,Transfer,Online"</formula1>
    </dataValidation>
    <dataValidation type="list" allowBlank="1" showInputMessage="1" showErrorMessage="1" sqref="E3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9">
      <formula1>"Cash,Card,Transfer,Online"</formula1>
    </dataValidation>
    <dataValidation type="list" allowBlank="1" showInputMessage="1" showErrorMessage="1" sqref="E4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40">
      <formula1>"Cash,Card,Transfer,Online"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9C27B0"/>
  </sheetPr>
  <dimension ref="B1:N40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/>
  <cols>
    <col min="1" max="1" width="5.7109375" customWidth="1"/>
    <col min="2" max="2" width="6.7109375" customWidth="1"/>
    <col min="3" max="3" width="14.7109375" customWidth="1"/>
    <col min="4" max="4" width="12.7109375" customWidth="1"/>
    <col min="5" max="5" width="28.7109375" customWidth="1"/>
    <col min="6" max="6" width="38.7109375" customWidth="1"/>
    <col min="7" max="7" width="20.7109375" customWidth="1"/>
    <col min="8" max="8" width="16.7109375" customWidth="1"/>
    <col min="9" max="9" width="20.7109375" customWidth="1"/>
    <col min="11" max="11" width="28.7109375" customWidth="1"/>
    <col min="12" max="13" width="18.7109375" customWidth="1"/>
    <col min="14" max="14" width="14.7109375" customWidth="1"/>
  </cols>
  <sheetData>
    <row r="1" spans="2:14" ht="45" customHeight="1">
      <c r="B1" s="110" t="s">
        <v>151</v>
      </c>
      <c r="C1" s="110"/>
      <c r="D1" s="110"/>
      <c r="E1" s="110"/>
      <c r="F1" s="110"/>
      <c r="G1" s="110"/>
      <c r="H1" s="110"/>
      <c r="I1" s="110"/>
    </row>
    <row r="2" spans="2:14">
      <c r="B2" s="111" t="s">
        <v>152</v>
      </c>
      <c r="C2" s="111"/>
      <c r="D2" s="111"/>
      <c r="E2" s="111"/>
      <c r="F2" s="111"/>
      <c r="G2" s="111"/>
      <c r="H2" s="111"/>
      <c r="I2" s="111"/>
    </row>
    <row r="4" spans="2:14">
      <c r="B4" s="112" t="s">
        <v>108</v>
      </c>
      <c r="C4" s="112"/>
      <c r="D4" s="112"/>
      <c r="F4" s="112" t="s">
        <v>112</v>
      </c>
      <c r="G4" s="112"/>
      <c r="H4" s="112"/>
      <c r="I4" s="112"/>
      <c r="K4" s="112" t="s">
        <v>153</v>
      </c>
      <c r="L4" s="112"/>
      <c r="M4" s="112"/>
      <c r="N4" s="112"/>
    </row>
    <row r="5" spans="2:14">
      <c r="B5" s="1" t="s">
        <v>109</v>
      </c>
      <c r="C5" s="20">
        <v>0</v>
      </c>
      <c r="F5" s="1" t="s">
        <v>113</v>
      </c>
      <c r="G5" s="11">
        <v>60000</v>
      </c>
      <c r="H5" s="1" t="s">
        <v>114</v>
      </c>
      <c r="I5" s="66">
        <f>Dashboard!$N$2</f>
        <v>0</v>
      </c>
      <c r="K5" s="9" t="s">
        <v>31</v>
      </c>
      <c r="L5" s="9" t="s">
        <v>32</v>
      </c>
      <c r="M5" s="9" t="s">
        <v>33</v>
      </c>
      <c r="N5" s="9" t="s">
        <v>34</v>
      </c>
    </row>
    <row r="6" spans="2:14">
      <c r="B6" s="1" t="s">
        <v>110</v>
      </c>
      <c r="C6" s="20">
        <v>0</v>
      </c>
      <c r="F6" s="1" t="s">
        <v>92</v>
      </c>
      <c r="G6" s="20">
        <v>0</v>
      </c>
      <c r="H6" s="1" t="s">
        <v>114</v>
      </c>
      <c r="I6" s="67" t="s">
        <v>5</v>
      </c>
      <c r="K6" s="24" t="s">
        <v>36</v>
      </c>
      <c r="L6" s="11">
        <f>'Monthly Budget'!D3</f>
        <v>0</v>
      </c>
      <c r="M6" s="11">
        <f>SUMIF(E:E,K6,G:G)</f>
        <v>0</v>
      </c>
      <c r="N6" s="12">
        <f>IF(M6&gt;L6,"OVER",IF(M6&gt;L6*0.9,"WARN","OK"))</f>
        <v>0</v>
      </c>
    </row>
    <row r="7" spans="2:14">
      <c r="B7" s="1" t="s">
        <v>111</v>
      </c>
      <c r="C7" s="22">
        <f>C6-C5</f>
        <v>0</v>
      </c>
      <c r="F7" s="1" t="s">
        <v>93</v>
      </c>
      <c r="G7" s="22">
        <f>G5+G6</f>
        <v>0</v>
      </c>
      <c r="K7" s="25" t="s">
        <v>37</v>
      </c>
      <c r="L7" s="11">
        <f>'Monthly Budget'!D4</f>
        <v>0</v>
      </c>
      <c r="M7" s="11">
        <f>SUMIF(E:E,K7,G:G)</f>
        <v>0</v>
      </c>
      <c r="N7" s="12">
        <f>IF(M7&gt;L7,"OVER",IF(M7&gt;L7*0.9,"WARN","OK"))</f>
        <v>0</v>
      </c>
    </row>
    <row r="8" spans="2:14">
      <c r="K8" s="27" t="s">
        <v>38</v>
      </c>
      <c r="L8" s="11">
        <f>'Monthly Budget'!D5</f>
        <v>0</v>
      </c>
      <c r="M8" s="11">
        <f>SUMIF(E:E,K8,G:G)</f>
        <v>0</v>
      </c>
      <c r="N8" s="12">
        <f>IF(M8&gt;L8,"OVER",IF(M8&gt;L8*0.9,"WARN","OK"))</f>
        <v>0</v>
      </c>
    </row>
    <row r="9" spans="2:14">
      <c r="B9" s="112" t="s">
        <v>95</v>
      </c>
      <c r="C9" s="112" t="s">
        <v>115</v>
      </c>
      <c r="D9" s="112" t="s">
        <v>116</v>
      </c>
      <c r="E9" s="112" t="s">
        <v>31</v>
      </c>
      <c r="F9" s="112" t="s">
        <v>117</v>
      </c>
      <c r="G9" s="112" t="s">
        <v>118</v>
      </c>
      <c r="H9" s="112" t="s">
        <v>119</v>
      </c>
      <c r="I9" s="112" t="s">
        <v>120</v>
      </c>
      <c r="K9" s="29" t="s">
        <v>39</v>
      </c>
      <c r="L9" s="11">
        <f>'Monthly Budget'!D6</f>
        <v>0</v>
      </c>
      <c r="M9" s="11">
        <f>SUMIF(E:E,K9,G:G)</f>
        <v>0</v>
      </c>
      <c r="N9" s="12">
        <f>IF(M9&gt;L9,"OVER",IF(M9&gt;L9*0.9,"WARN","OK"))</f>
        <v>0</v>
      </c>
    </row>
    <row r="10" spans="2:14">
      <c r="B10" s="12">
        <v>1</v>
      </c>
      <c r="C10" s="68">
        <v>46266</v>
      </c>
      <c r="D10" s="69" t="s">
        <v>126</v>
      </c>
      <c r="E10" s="70"/>
      <c r="F10" s="70"/>
      <c r="G10" s="20"/>
      <c r="H10" s="70"/>
      <c r="I10" s="11">
        <f>G10</f>
        <v>0</v>
      </c>
      <c r="K10" s="30" t="s">
        <v>40</v>
      </c>
      <c r="L10" s="11">
        <f>'Monthly Budget'!D7</f>
        <v>0</v>
      </c>
      <c r="M10" s="11">
        <f>SUMIF(E:E,K10,G:G)</f>
        <v>0</v>
      </c>
      <c r="N10" s="12">
        <f>IF(M10&gt;L10,"OVER",IF(M10&gt;L10*0.9,"WARN","OK"))</f>
        <v>0</v>
      </c>
    </row>
    <row r="11" spans="2:14">
      <c r="B11" s="12">
        <v>2</v>
      </c>
      <c r="C11" s="68">
        <v>46267</v>
      </c>
      <c r="D11" s="69" t="s">
        <v>127</v>
      </c>
      <c r="E11" s="70"/>
      <c r="F11" s="70"/>
      <c r="G11" s="20"/>
      <c r="H11" s="70"/>
      <c r="I11" s="11">
        <f>I10+G11</f>
        <v>0</v>
      </c>
      <c r="K11" s="31" t="s">
        <v>41</v>
      </c>
      <c r="L11" s="11">
        <f>'Monthly Budget'!D8</f>
        <v>0</v>
      </c>
      <c r="M11" s="11">
        <f>SUMIF(E:E,K11,G:G)</f>
        <v>0</v>
      </c>
      <c r="N11" s="12">
        <f>IF(M11&gt;L11,"OVER",IF(M11&gt;L11*0.9,"WARN","OK"))</f>
        <v>0</v>
      </c>
    </row>
    <row r="12" spans="2:14">
      <c r="B12" s="12">
        <v>3</v>
      </c>
      <c r="C12" s="68">
        <v>46268</v>
      </c>
      <c r="D12" s="69" t="s">
        <v>121</v>
      </c>
      <c r="E12" s="70"/>
      <c r="F12" s="70"/>
      <c r="G12" s="20"/>
      <c r="H12" s="70"/>
      <c r="I12" s="11">
        <f>I11+G12</f>
        <v>0</v>
      </c>
      <c r="K12" s="33" t="s">
        <v>42</v>
      </c>
      <c r="L12" s="11">
        <f>'Monthly Budget'!D9</f>
        <v>0</v>
      </c>
      <c r="M12" s="11">
        <f>SUMIF(E:E,K12,G:G)</f>
        <v>0</v>
      </c>
      <c r="N12" s="12">
        <f>IF(M12&gt;L12,"OVER",IF(M12&gt;L12*0.9,"WARN","OK"))</f>
        <v>0</v>
      </c>
    </row>
    <row r="13" spans="2:14">
      <c r="B13" s="12">
        <v>4</v>
      </c>
      <c r="C13" s="68">
        <v>46269</v>
      </c>
      <c r="D13" s="69" t="s">
        <v>122</v>
      </c>
      <c r="E13" s="70"/>
      <c r="F13" s="70"/>
      <c r="G13" s="20"/>
      <c r="H13" s="70"/>
      <c r="I13" s="11">
        <f>I12+G13</f>
        <v>0</v>
      </c>
      <c r="K13" s="38" t="s">
        <v>43</v>
      </c>
      <c r="L13" s="11">
        <f>'Monthly Budget'!D10</f>
        <v>0</v>
      </c>
      <c r="M13" s="11">
        <f>SUMIF(E:E,K13,G:G)</f>
        <v>0</v>
      </c>
      <c r="N13" s="12">
        <f>IF(M13&gt;L13,"OVER",IF(M13&gt;L13*0.9,"WARN","OK"))</f>
        <v>0</v>
      </c>
    </row>
    <row r="14" spans="2:14">
      <c r="B14" s="12">
        <v>5</v>
      </c>
      <c r="C14" s="71">
        <v>46270</v>
      </c>
      <c r="D14" s="72" t="s">
        <v>123</v>
      </c>
      <c r="E14" s="70"/>
      <c r="F14" s="70"/>
      <c r="G14" s="20"/>
      <c r="H14" s="70"/>
      <c r="I14" s="11">
        <f>I13+G14</f>
        <v>0</v>
      </c>
      <c r="K14" s="59" t="s">
        <v>83</v>
      </c>
      <c r="L14" s="11">
        <f>'Monthly Budget'!D11</f>
        <v>0</v>
      </c>
      <c r="M14" s="11">
        <f>SUMIF(E:E,K14,G:G)</f>
        <v>0</v>
      </c>
      <c r="N14" s="12">
        <f>IF(M14&gt;L14,"OVER",IF(M14&gt;L14*0.9,"WARN","OK"))</f>
        <v>0</v>
      </c>
    </row>
    <row r="15" spans="2:14">
      <c r="B15" s="12">
        <v>6</v>
      </c>
      <c r="C15" s="71">
        <v>46271</v>
      </c>
      <c r="D15" s="72" t="s">
        <v>124</v>
      </c>
      <c r="E15" s="70"/>
      <c r="F15" s="70"/>
      <c r="G15" s="20"/>
      <c r="H15" s="70"/>
      <c r="I15" s="11">
        <f>I14+G15</f>
        <v>0</v>
      </c>
      <c r="K15" s="60" t="s">
        <v>84</v>
      </c>
      <c r="L15" s="11">
        <f>'Monthly Budget'!D12</f>
        <v>0</v>
      </c>
      <c r="M15" s="11">
        <f>SUMIF(E:E,K15,G:G)</f>
        <v>0</v>
      </c>
      <c r="N15" s="12">
        <f>IF(M15&gt;L15,"OVER",IF(M15&gt;L15*0.9,"WARN","OK"))</f>
        <v>0</v>
      </c>
    </row>
    <row r="16" spans="2:14">
      <c r="B16" s="12">
        <v>7</v>
      </c>
      <c r="C16" s="68">
        <v>46272</v>
      </c>
      <c r="D16" s="69" t="s">
        <v>125</v>
      </c>
      <c r="E16" s="70"/>
      <c r="F16" s="70"/>
      <c r="G16" s="20"/>
      <c r="H16" s="70"/>
      <c r="I16" s="11">
        <f>I15+G16</f>
        <v>0</v>
      </c>
      <c r="K16" s="61" t="s">
        <v>85</v>
      </c>
      <c r="L16" s="11">
        <f>'Monthly Budget'!D13</f>
        <v>0</v>
      </c>
      <c r="M16" s="11">
        <f>SUMIF(E:E,K16,G:G)</f>
        <v>0</v>
      </c>
      <c r="N16" s="12">
        <f>IF(M16&gt;L16,"OVER",IF(M16&gt;L16*0.9,"WARN","OK"))</f>
        <v>0</v>
      </c>
    </row>
    <row r="17" spans="2:13">
      <c r="B17" s="12">
        <v>8</v>
      </c>
      <c r="C17" s="68">
        <v>46273</v>
      </c>
      <c r="D17" s="69" t="s">
        <v>126</v>
      </c>
      <c r="E17" s="70"/>
      <c r="F17" s="70"/>
      <c r="G17" s="20"/>
      <c r="H17" s="70"/>
      <c r="I17" s="11">
        <f>I16+G17</f>
        <v>0</v>
      </c>
      <c r="K17" s="52" t="s">
        <v>65</v>
      </c>
      <c r="L17" s="22">
        <f>SUM(L6:L16)</f>
        <v>0</v>
      </c>
      <c r="M17" s="22">
        <f>SUM(M6:M16)</f>
        <v>0</v>
      </c>
    </row>
    <row r="18" spans="2:13">
      <c r="B18" s="12">
        <v>9</v>
      </c>
      <c r="C18" s="68">
        <v>46274</v>
      </c>
      <c r="D18" s="69" t="s">
        <v>127</v>
      </c>
      <c r="E18" s="70"/>
      <c r="F18" s="70"/>
      <c r="G18" s="20"/>
      <c r="H18" s="70"/>
      <c r="I18" s="11">
        <f>I17+G18</f>
        <v>0</v>
      </c>
    </row>
    <row r="19" spans="2:13">
      <c r="B19" s="12">
        <v>10</v>
      </c>
      <c r="C19" s="68">
        <v>46275</v>
      </c>
      <c r="D19" s="69" t="s">
        <v>121</v>
      </c>
      <c r="E19" s="70"/>
      <c r="F19" s="70"/>
      <c r="G19" s="20"/>
      <c r="H19" s="70"/>
      <c r="I19" s="11">
        <f>I18+G19</f>
        <v>0</v>
      </c>
    </row>
    <row r="20" spans="2:13">
      <c r="B20" s="12">
        <v>11</v>
      </c>
      <c r="C20" s="68">
        <v>46276</v>
      </c>
      <c r="D20" s="69" t="s">
        <v>122</v>
      </c>
      <c r="E20" s="70"/>
      <c r="F20" s="70"/>
      <c r="G20" s="20"/>
      <c r="H20" s="70"/>
      <c r="I20" s="11">
        <f>I19+G20</f>
        <v>0</v>
      </c>
    </row>
    <row r="21" spans="2:13">
      <c r="B21" s="12">
        <v>12</v>
      </c>
      <c r="C21" s="71">
        <v>46277</v>
      </c>
      <c r="D21" s="72" t="s">
        <v>123</v>
      </c>
      <c r="E21" s="70"/>
      <c r="F21" s="70"/>
      <c r="G21" s="20"/>
      <c r="H21" s="70"/>
      <c r="I21" s="11">
        <f>I20+G21</f>
        <v>0</v>
      </c>
    </row>
    <row r="22" spans="2:13">
      <c r="B22" s="12">
        <v>13</v>
      </c>
      <c r="C22" s="71">
        <v>46278</v>
      </c>
      <c r="D22" s="72" t="s">
        <v>124</v>
      </c>
      <c r="E22" s="70"/>
      <c r="F22" s="70"/>
      <c r="G22" s="20"/>
      <c r="H22" s="70"/>
      <c r="I22" s="11">
        <f>I21+G22</f>
        <v>0</v>
      </c>
    </row>
    <row r="23" spans="2:13">
      <c r="B23" s="12">
        <v>14</v>
      </c>
      <c r="C23" s="68">
        <v>46279</v>
      </c>
      <c r="D23" s="69" t="s">
        <v>125</v>
      </c>
      <c r="E23" s="70"/>
      <c r="F23" s="70"/>
      <c r="G23" s="20"/>
      <c r="H23" s="70"/>
      <c r="I23" s="11">
        <f>I22+G23</f>
        <v>0</v>
      </c>
    </row>
    <row r="24" spans="2:13">
      <c r="B24" s="12">
        <v>15</v>
      </c>
      <c r="C24" s="68">
        <v>46280</v>
      </c>
      <c r="D24" s="69" t="s">
        <v>126</v>
      </c>
      <c r="E24" s="70"/>
      <c r="F24" s="70"/>
      <c r="G24" s="20"/>
      <c r="H24" s="70"/>
      <c r="I24" s="11">
        <f>I23+G24</f>
        <v>0</v>
      </c>
    </row>
    <row r="25" spans="2:13">
      <c r="B25" s="12">
        <v>16</v>
      </c>
      <c r="C25" s="68">
        <v>46281</v>
      </c>
      <c r="D25" s="69" t="s">
        <v>127</v>
      </c>
      <c r="E25" s="70"/>
      <c r="F25" s="70"/>
      <c r="G25" s="20"/>
      <c r="H25" s="70"/>
      <c r="I25" s="11">
        <f>I24+G25</f>
        <v>0</v>
      </c>
    </row>
    <row r="26" spans="2:13">
      <c r="B26" s="12">
        <v>17</v>
      </c>
      <c r="C26" s="68">
        <v>46282</v>
      </c>
      <c r="D26" s="69" t="s">
        <v>121</v>
      </c>
      <c r="E26" s="70"/>
      <c r="F26" s="70"/>
      <c r="G26" s="20"/>
      <c r="H26" s="70"/>
      <c r="I26" s="11">
        <f>I25+G26</f>
        <v>0</v>
      </c>
    </row>
    <row r="27" spans="2:13">
      <c r="B27" s="12">
        <v>18</v>
      </c>
      <c r="C27" s="68">
        <v>46283</v>
      </c>
      <c r="D27" s="69" t="s">
        <v>122</v>
      </c>
      <c r="E27" s="70"/>
      <c r="F27" s="70"/>
      <c r="G27" s="20"/>
      <c r="H27" s="70"/>
      <c r="I27" s="11">
        <f>I26+G27</f>
        <v>0</v>
      </c>
    </row>
    <row r="28" spans="2:13">
      <c r="B28" s="12">
        <v>19</v>
      </c>
      <c r="C28" s="71">
        <v>46284</v>
      </c>
      <c r="D28" s="72" t="s">
        <v>123</v>
      </c>
      <c r="E28" s="70"/>
      <c r="F28" s="70"/>
      <c r="G28" s="20"/>
      <c r="H28" s="70"/>
      <c r="I28" s="11">
        <f>I27+G28</f>
        <v>0</v>
      </c>
    </row>
    <row r="29" spans="2:13">
      <c r="B29" s="12">
        <v>20</v>
      </c>
      <c r="C29" s="71">
        <v>46285</v>
      </c>
      <c r="D29" s="72" t="s">
        <v>124</v>
      </c>
      <c r="E29" s="70"/>
      <c r="F29" s="70"/>
      <c r="G29" s="20"/>
      <c r="H29" s="70"/>
      <c r="I29" s="11">
        <f>I28+G29</f>
        <v>0</v>
      </c>
    </row>
    <row r="30" spans="2:13">
      <c r="B30" s="12">
        <v>21</v>
      </c>
      <c r="C30" s="68">
        <v>46286</v>
      </c>
      <c r="D30" s="69" t="s">
        <v>125</v>
      </c>
      <c r="E30" s="70"/>
      <c r="F30" s="70"/>
      <c r="G30" s="20"/>
      <c r="H30" s="70"/>
      <c r="I30" s="11">
        <f>I29+G30</f>
        <v>0</v>
      </c>
    </row>
    <row r="31" spans="2:13">
      <c r="B31" s="12">
        <v>22</v>
      </c>
      <c r="C31" s="68">
        <v>46287</v>
      </c>
      <c r="D31" s="69" t="s">
        <v>126</v>
      </c>
      <c r="E31" s="70"/>
      <c r="F31" s="70"/>
      <c r="G31" s="20"/>
      <c r="H31" s="70"/>
      <c r="I31" s="11">
        <f>I30+G31</f>
        <v>0</v>
      </c>
    </row>
    <row r="32" spans="2:13">
      <c r="B32" s="12">
        <v>23</v>
      </c>
      <c r="C32" s="68">
        <v>46288</v>
      </c>
      <c r="D32" s="69" t="s">
        <v>127</v>
      </c>
      <c r="E32" s="70"/>
      <c r="F32" s="70"/>
      <c r="G32" s="20"/>
      <c r="H32" s="70"/>
      <c r="I32" s="11">
        <f>I31+G32</f>
        <v>0</v>
      </c>
    </row>
    <row r="33" spans="2:9">
      <c r="B33" s="12">
        <v>24</v>
      </c>
      <c r="C33" s="68">
        <v>46289</v>
      </c>
      <c r="D33" s="69" t="s">
        <v>121</v>
      </c>
      <c r="E33" s="70"/>
      <c r="F33" s="70"/>
      <c r="G33" s="20"/>
      <c r="H33" s="70"/>
      <c r="I33" s="11">
        <f>I32+G33</f>
        <v>0</v>
      </c>
    </row>
    <row r="34" spans="2:9">
      <c r="B34" s="12">
        <v>25</v>
      </c>
      <c r="C34" s="68">
        <v>46290</v>
      </c>
      <c r="D34" s="69" t="s">
        <v>122</v>
      </c>
      <c r="E34" s="70"/>
      <c r="F34" s="70"/>
      <c r="G34" s="20"/>
      <c r="H34" s="70"/>
      <c r="I34" s="11">
        <f>I33+G34</f>
        <v>0</v>
      </c>
    </row>
    <row r="35" spans="2:9">
      <c r="B35" s="12">
        <v>26</v>
      </c>
      <c r="C35" s="71">
        <v>46291</v>
      </c>
      <c r="D35" s="72" t="s">
        <v>123</v>
      </c>
      <c r="E35" s="70"/>
      <c r="F35" s="70"/>
      <c r="G35" s="20"/>
      <c r="H35" s="70"/>
      <c r="I35" s="11">
        <f>I34+G35</f>
        <v>0</v>
      </c>
    </row>
    <row r="36" spans="2:9">
      <c r="B36" s="12">
        <v>27</v>
      </c>
      <c r="C36" s="71">
        <v>46292</v>
      </c>
      <c r="D36" s="72" t="s">
        <v>124</v>
      </c>
      <c r="E36" s="70"/>
      <c r="F36" s="70"/>
      <c r="G36" s="20"/>
      <c r="H36" s="70"/>
      <c r="I36" s="11">
        <f>I35+G36</f>
        <v>0</v>
      </c>
    </row>
    <row r="37" spans="2:9">
      <c r="B37" s="12">
        <v>28</v>
      </c>
      <c r="C37" s="68">
        <v>46293</v>
      </c>
      <c r="D37" s="69" t="s">
        <v>125</v>
      </c>
      <c r="E37" s="70"/>
      <c r="F37" s="70"/>
      <c r="G37" s="20"/>
      <c r="H37" s="70"/>
      <c r="I37" s="11">
        <f>I36+G37</f>
        <v>0</v>
      </c>
    </row>
    <row r="38" spans="2:9">
      <c r="B38" s="12">
        <v>29</v>
      </c>
      <c r="C38" s="68">
        <v>46294</v>
      </c>
      <c r="D38" s="69" t="s">
        <v>126</v>
      </c>
      <c r="E38" s="70"/>
      <c r="F38" s="70"/>
      <c r="G38" s="20"/>
      <c r="H38" s="70"/>
      <c r="I38" s="11">
        <f>I37+G38</f>
        <v>0</v>
      </c>
    </row>
    <row r="39" spans="2:9">
      <c r="B39" s="12">
        <v>30</v>
      </c>
      <c r="C39" s="68">
        <v>46295</v>
      </c>
      <c r="D39" s="69" t="s">
        <v>127</v>
      </c>
      <c r="E39" s="70"/>
      <c r="F39" s="70"/>
      <c r="G39" s="20"/>
      <c r="H39" s="70"/>
      <c r="I39" s="11">
        <f>I38+G39</f>
        <v>0</v>
      </c>
    </row>
    <row r="40" spans="2:9">
      <c r="F40" s="113" t="s">
        <v>128</v>
      </c>
      <c r="G40" s="114">
        <f>SUM(G10:G39)</f>
        <v>0</v>
      </c>
    </row>
  </sheetData>
  <mergeCells count="5">
    <mergeCell ref="B1:I1"/>
    <mergeCell ref="B2:I2"/>
    <mergeCell ref="B4:D4"/>
    <mergeCell ref="F4:I4"/>
    <mergeCell ref="K4:N4"/>
  </mergeCells>
  <conditionalFormatting sqref="E10:E39">
    <cfRule type="containsText" dxfId="3" priority="1" operator="containsText" text="Rent + Utilities">
      <formula>NOT(ISERROR(SEARCH("Rent + Utilities",E10)))</formula>
    </cfRule>
    <cfRule type="containsText" dxfId="4" priority="2" operator="containsText" text="Electricity Deposit">
      <formula>NOT(ISERROR(SEARCH("Electricity Deposit",E10)))</formula>
    </cfRule>
    <cfRule type="containsText" dxfId="5" priority="3" operator="containsText" text="Internet &amp; Phone Bills">
      <formula>NOT(ISERROR(SEARCH("Internet &amp; Phone Bills",E10)))</formula>
    </cfRule>
    <cfRule type="containsText" dxfId="6" priority="4" operator="containsText" text="Food &amp; Groceries">
      <formula>NOT(ISERROR(SEARCH("Food &amp; Groceries",E10)))</formula>
    </cfRule>
    <cfRule type="containsText" dxfId="7" priority="5" operator="containsText" text="Investments">
      <formula>NOT(ISERROR(SEARCH("Investments",E10)))</formula>
    </cfRule>
    <cfRule type="containsText" dxfId="8" priority="6" operator="containsText" text="Date Nights">
      <formula>NOT(ISERROR(SEARCH("Date Nights",E10)))</formula>
    </cfRule>
    <cfRule type="containsText" dxfId="9" priority="7" operator="containsText" text="Annual Costs Savings">
      <formula>NOT(ISERROR(SEARCH("Annual Costs Savings",E10)))</formula>
    </cfRule>
    <cfRule type="containsText" dxfId="10" priority="8" operator="containsText" text="Emergency Buffer">
      <formula>NOT(ISERROR(SEARCH("Emergency Buffer",E10)))</formula>
    </cfRule>
    <cfRule type="containsText" dxfId="11" priority="9" operator="containsText" text="Personal Care">
      <formula>NOT(ISERROR(SEARCH("Personal Care",E10)))</formula>
    </cfRule>
    <cfRule type="containsText" dxfId="12" priority="10" operator="containsText" text="Personal Savings">
      <formula>NOT(ISERROR(SEARCH("Personal Savings",E10)))</formula>
    </cfRule>
    <cfRule type="containsText" dxfId="13" priority="11" operator="containsText" text="Miscellaneous">
      <formula>NOT(ISERROR(SEARCH("Miscellaneous",E10)))</formula>
    </cfRule>
  </conditionalFormatting>
  <conditionalFormatting sqref="N10">
    <cfRule type="containsText" dxfId="0" priority="24" operator="containsText" text="OVER">
      <formula>NOT(ISERROR(SEARCH("OVER",N10)))</formula>
    </cfRule>
    <cfRule type="containsText" dxfId="1" priority="25" operator="containsText" text="WARN">
      <formula>NOT(ISERROR(SEARCH("WARN",N10)))</formula>
    </cfRule>
    <cfRule type="containsText" dxfId="2" priority="26" operator="containsText" text="OK">
      <formula>NOT(ISERROR(SEARCH("OK",N10)))</formula>
    </cfRule>
  </conditionalFormatting>
  <conditionalFormatting sqref="N11">
    <cfRule type="containsText" dxfId="0" priority="27" operator="containsText" text="OVER">
      <formula>NOT(ISERROR(SEARCH("OVER",N11)))</formula>
    </cfRule>
    <cfRule type="containsText" dxfId="1" priority="28" operator="containsText" text="WARN">
      <formula>NOT(ISERROR(SEARCH("WARN",N11)))</formula>
    </cfRule>
    <cfRule type="containsText" dxfId="2" priority="29" operator="containsText" text="OK">
      <formula>NOT(ISERROR(SEARCH("OK",N11)))</formula>
    </cfRule>
  </conditionalFormatting>
  <conditionalFormatting sqref="N12">
    <cfRule type="containsText" dxfId="0" priority="30" operator="containsText" text="OVER">
      <formula>NOT(ISERROR(SEARCH("OVER",N12)))</formula>
    </cfRule>
    <cfRule type="containsText" dxfId="1" priority="31" operator="containsText" text="WARN">
      <formula>NOT(ISERROR(SEARCH("WARN",N12)))</formula>
    </cfRule>
    <cfRule type="containsText" dxfId="2" priority="32" operator="containsText" text="OK">
      <formula>NOT(ISERROR(SEARCH("OK",N12)))</formula>
    </cfRule>
  </conditionalFormatting>
  <conditionalFormatting sqref="N13">
    <cfRule type="containsText" dxfId="0" priority="33" operator="containsText" text="OVER">
      <formula>NOT(ISERROR(SEARCH("OVER",N13)))</formula>
    </cfRule>
    <cfRule type="containsText" dxfId="1" priority="34" operator="containsText" text="WARN">
      <formula>NOT(ISERROR(SEARCH("WARN",N13)))</formula>
    </cfRule>
    <cfRule type="containsText" dxfId="2" priority="35" operator="containsText" text="OK">
      <formula>NOT(ISERROR(SEARCH("OK",N13)))</formula>
    </cfRule>
  </conditionalFormatting>
  <conditionalFormatting sqref="N14">
    <cfRule type="containsText" dxfId="0" priority="36" operator="containsText" text="OVER">
      <formula>NOT(ISERROR(SEARCH("OVER",N14)))</formula>
    </cfRule>
    <cfRule type="containsText" dxfId="1" priority="37" operator="containsText" text="WARN">
      <formula>NOT(ISERROR(SEARCH("WARN",N14)))</formula>
    </cfRule>
    <cfRule type="containsText" dxfId="2" priority="38" operator="containsText" text="OK">
      <formula>NOT(ISERROR(SEARCH("OK",N14)))</formula>
    </cfRule>
  </conditionalFormatting>
  <conditionalFormatting sqref="N15">
    <cfRule type="containsText" dxfId="0" priority="39" operator="containsText" text="OVER">
      <formula>NOT(ISERROR(SEARCH("OVER",N15)))</formula>
    </cfRule>
    <cfRule type="containsText" dxfId="1" priority="40" operator="containsText" text="WARN">
      <formula>NOT(ISERROR(SEARCH("WARN",N15)))</formula>
    </cfRule>
    <cfRule type="containsText" dxfId="2" priority="41" operator="containsText" text="OK">
      <formula>NOT(ISERROR(SEARCH("OK",N15)))</formula>
    </cfRule>
  </conditionalFormatting>
  <conditionalFormatting sqref="N16">
    <cfRule type="containsText" dxfId="0" priority="42" operator="containsText" text="OVER">
      <formula>NOT(ISERROR(SEARCH("OVER",N16)))</formula>
    </cfRule>
    <cfRule type="containsText" dxfId="1" priority="43" operator="containsText" text="WARN">
      <formula>NOT(ISERROR(SEARCH("WARN",N16)))</formula>
    </cfRule>
    <cfRule type="containsText" dxfId="2" priority="44" operator="containsText" text="OK">
      <formula>NOT(ISERROR(SEARCH("OK",N16)))</formula>
    </cfRule>
  </conditionalFormatting>
  <conditionalFormatting sqref="N6">
    <cfRule type="containsText" dxfId="0" priority="12" operator="containsText" text="OVER">
      <formula>NOT(ISERROR(SEARCH("OVER",N6)))</formula>
    </cfRule>
    <cfRule type="containsText" dxfId="1" priority="13" operator="containsText" text="WARN">
      <formula>NOT(ISERROR(SEARCH("WARN",N6)))</formula>
    </cfRule>
    <cfRule type="containsText" dxfId="2" priority="14" operator="containsText" text="OK">
      <formula>NOT(ISERROR(SEARCH("OK",N6)))</formula>
    </cfRule>
  </conditionalFormatting>
  <conditionalFormatting sqref="N7">
    <cfRule type="containsText" dxfId="0" priority="15" operator="containsText" text="OVER">
      <formula>NOT(ISERROR(SEARCH("OVER",N7)))</formula>
    </cfRule>
    <cfRule type="containsText" dxfId="1" priority="16" operator="containsText" text="WARN">
      <formula>NOT(ISERROR(SEARCH("WARN",N7)))</formula>
    </cfRule>
    <cfRule type="containsText" dxfId="2" priority="17" operator="containsText" text="OK">
      <formula>NOT(ISERROR(SEARCH("OK",N7)))</formula>
    </cfRule>
  </conditionalFormatting>
  <conditionalFormatting sqref="N8">
    <cfRule type="containsText" dxfId="0" priority="18" operator="containsText" text="OVER">
      <formula>NOT(ISERROR(SEARCH("OVER",N8)))</formula>
    </cfRule>
    <cfRule type="containsText" dxfId="1" priority="19" operator="containsText" text="WARN">
      <formula>NOT(ISERROR(SEARCH("WARN",N8)))</formula>
    </cfRule>
    <cfRule type="containsText" dxfId="2" priority="20" operator="containsText" text="OK">
      <formula>NOT(ISERROR(SEARCH("OK",N8)))</formula>
    </cfRule>
  </conditionalFormatting>
  <conditionalFormatting sqref="N9">
    <cfRule type="containsText" dxfId="0" priority="21" operator="containsText" text="OVER">
      <formula>NOT(ISERROR(SEARCH("OVER",N9)))</formula>
    </cfRule>
    <cfRule type="containsText" dxfId="1" priority="22" operator="containsText" text="WARN">
      <formula>NOT(ISERROR(SEARCH("WARN",N9)))</formula>
    </cfRule>
    <cfRule type="containsText" dxfId="2" priority="23" operator="containsText" text="OK">
      <formula>NOT(ISERROR(SEARCH("OK",N9)))</formula>
    </cfRule>
  </conditionalFormatting>
  <dataValidations count="61">
    <dataValidation type="list" allowBlank="1" showInputMessage="1" showErrorMessage="1" sqref="I6">
      <formula1>"CZK,USD,EUR,NGN"</formula1>
    </dataValidation>
    <dataValidation type="list" allowBlank="1" showInputMessage="1" showErrorMessage="1" sqref="E1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0">
      <formula1>"Cash,Card,Transfer,Online"</formula1>
    </dataValidation>
    <dataValidation type="list" allowBlank="1" showInputMessage="1" showErrorMessage="1" sqref="E1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1">
      <formula1>"Cash,Card,Transfer,Online"</formula1>
    </dataValidation>
    <dataValidation type="list" allowBlank="1" showInputMessage="1" showErrorMessage="1" sqref="E1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2">
      <formula1>"Cash,Card,Transfer,Online"</formula1>
    </dataValidation>
    <dataValidation type="list" allowBlank="1" showInputMessage="1" showErrorMessage="1" sqref="E1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3">
      <formula1>"Cash,Card,Transfer,Online"</formula1>
    </dataValidation>
    <dataValidation type="list" allowBlank="1" showInputMessage="1" showErrorMessage="1" sqref="E1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4">
      <formula1>"Cash,Card,Transfer,Online"</formula1>
    </dataValidation>
    <dataValidation type="list" allowBlank="1" showInputMessage="1" showErrorMessage="1" sqref="E1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5">
      <formula1>"Cash,Card,Transfer,Online"</formula1>
    </dataValidation>
    <dataValidation type="list" allowBlank="1" showInputMessage="1" showErrorMessage="1" sqref="E1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6">
      <formula1>"Cash,Card,Transfer,Online"</formula1>
    </dataValidation>
    <dataValidation type="list" allowBlank="1" showInputMessage="1" showErrorMessage="1" sqref="E1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7">
      <formula1>"Cash,Card,Transfer,Online"</formula1>
    </dataValidation>
    <dataValidation type="list" allowBlank="1" showInputMessage="1" showErrorMessage="1" sqref="E1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8">
      <formula1>"Cash,Card,Transfer,Online"</formula1>
    </dataValidation>
    <dataValidation type="list" allowBlank="1" showInputMessage="1" showErrorMessage="1" sqref="E1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9">
      <formula1>"Cash,Card,Transfer,Online"</formula1>
    </dataValidation>
    <dataValidation type="list" allowBlank="1" showInputMessage="1" showErrorMessage="1" sqref="E2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0">
      <formula1>"Cash,Card,Transfer,Online"</formula1>
    </dataValidation>
    <dataValidation type="list" allowBlank="1" showInputMessage="1" showErrorMessage="1" sqref="E2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1">
      <formula1>"Cash,Card,Transfer,Online"</formula1>
    </dataValidation>
    <dataValidation type="list" allowBlank="1" showInputMessage="1" showErrorMessage="1" sqref="E2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2">
      <formula1>"Cash,Card,Transfer,Online"</formula1>
    </dataValidation>
    <dataValidation type="list" allowBlank="1" showInputMessage="1" showErrorMessage="1" sqref="E2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3">
      <formula1>"Cash,Card,Transfer,Online"</formula1>
    </dataValidation>
    <dataValidation type="list" allowBlank="1" showInputMessage="1" showErrorMessage="1" sqref="E2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4">
      <formula1>"Cash,Card,Transfer,Online"</formula1>
    </dataValidation>
    <dataValidation type="list" allowBlank="1" showInputMessage="1" showErrorMessage="1" sqref="E2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5">
      <formula1>"Cash,Card,Transfer,Online"</formula1>
    </dataValidation>
    <dataValidation type="list" allowBlank="1" showInputMessage="1" showErrorMessage="1" sqref="E2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6">
      <formula1>"Cash,Card,Transfer,Online"</formula1>
    </dataValidation>
    <dataValidation type="list" allowBlank="1" showInputMessage="1" showErrorMessage="1" sqref="E2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7">
      <formula1>"Cash,Card,Transfer,Online"</formula1>
    </dataValidation>
    <dataValidation type="list" allowBlank="1" showInputMessage="1" showErrorMessage="1" sqref="E2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8">
      <formula1>"Cash,Card,Transfer,Online"</formula1>
    </dataValidation>
    <dataValidation type="list" allowBlank="1" showInputMessage="1" showErrorMessage="1" sqref="E2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9">
      <formula1>"Cash,Card,Transfer,Online"</formula1>
    </dataValidation>
    <dataValidation type="list" allowBlank="1" showInputMessage="1" showErrorMessage="1" sqref="E3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0">
      <formula1>"Cash,Card,Transfer,Online"</formula1>
    </dataValidation>
    <dataValidation type="list" allowBlank="1" showInputMessage="1" showErrorMessage="1" sqref="E3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1">
      <formula1>"Cash,Card,Transfer,Online"</formula1>
    </dataValidation>
    <dataValidation type="list" allowBlank="1" showInputMessage="1" showErrorMessage="1" sqref="E3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2">
      <formula1>"Cash,Card,Transfer,Online"</formula1>
    </dataValidation>
    <dataValidation type="list" allowBlank="1" showInputMessage="1" showErrorMessage="1" sqref="E3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3">
      <formula1>"Cash,Card,Transfer,Online"</formula1>
    </dataValidation>
    <dataValidation type="list" allowBlank="1" showInputMessage="1" showErrorMessage="1" sqref="E3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4">
      <formula1>"Cash,Card,Transfer,Online"</formula1>
    </dataValidation>
    <dataValidation type="list" allowBlank="1" showInputMessage="1" showErrorMessage="1" sqref="E3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5">
      <formula1>"Cash,Card,Transfer,Online"</formula1>
    </dataValidation>
    <dataValidation type="list" allowBlank="1" showInputMessage="1" showErrorMessage="1" sqref="E3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6">
      <formula1>"Cash,Card,Transfer,Online"</formula1>
    </dataValidation>
    <dataValidation type="list" allowBlank="1" showInputMessage="1" showErrorMessage="1" sqref="E3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7">
      <formula1>"Cash,Card,Transfer,Online"</formula1>
    </dataValidation>
    <dataValidation type="list" allowBlank="1" showInputMessage="1" showErrorMessage="1" sqref="E3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8">
      <formula1>"Cash,Card,Transfer,Online"</formula1>
    </dataValidation>
    <dataValidation type="list" allowBlank="1" showInputMessage="1" showErrorMessage="1" sqref="E3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9">
      <formula1>"Cash,Card,Transfer,Online"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9800"/>
  </sheetPr>
  <dimension ref="B1:N41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/>
  <cols>
    <col min="1" max="1" width="5.7109375" customWidth="1"/>
    <col min="2" max="2" width="6.7109375" customWidth="1"/>
    <col min="3" max="3" width="14.7109375" customWidth="1"/>
    <col min="4" max="4" width="12.7109375" customWidth="1"/>
    <col min="5" max="5" width="28.7109375" customWidth="1"/>
    <col min="6" max="6" width="38.7109375" customWidth="1"/>
    <col min="7" max="7" width="20.7109375" customWidth="1"/>
    <col min="8" max="8" width="16.7109375" customWidth="1"/>
    <col min="9" max="9" width="20.7109375" customWidth="1"/>
    <col min="11" max="11" width="28.7109375" customWidth="1"/>
    <col min="12" max="13" width="18.7109375" customWidth="1"/>
    <col min="14" max="14" width="14.7109375" customWidth="1"/>
  </cols>
  <sheetData>
    <row r="1" spans="2:14" ht="45" customHeight="1">
      <c r="B1" s="115" t="s">
        <v>154</v>
      </c>
      <c r="C1" s="115"/>
      <c r="D1" s="115"/>
      <c r="E1" s="115"/>
      <c r="F1" s="115"/>
      <c r="G1" s="115"/>
      <c r="H1" s="115"/>
      <c r="I1" s="115"/>
    </row>
    <row r="2" spans="2:14">
      <c r="B2" s="116" t="s">
        <v>155</v>
      </c>
      <c r="C2" s="116"/>
      <c r="D2" s="116"/>
      <c r="E2" s="116"/>
      <c r="F2" s="116"/>
      <c r="G2" s="116"/>
      <c r="H2" s="116"/>
      <c r="I2" s="116"/>
    </row>
    <row r="4" spans="2:14">
      <c r="B4" s="117" t="s">
        <v>108</v>
      </c>
      <c r="C4" s="117"/>
      <c r="D4" s="117"/>
      <c r="F4" s="117" t="s">
        <v>112</v>
      </c>
      <c r="G4" s="117"/>
      <c r="H4" s="117"/>
      <c r="I4" s="117"/>
      <c r="K4" s="117" t="s">
        <v>156</v>
      </c>
      <c r="L4" s="117"/>
      <c r="M4" s="117"/>
      <c r="N4" s="117"/>
    </row>
    <row r="5" spans="2:14">
      <c r="B5" s="1" t="s">
        <v>109</v>
      </c>
      <c r="C5" s="20">
        <v>0</v>
      </c>
      <c r="F5" s="1" t="s">
        <v>113</v>
      </c>
      <c r="G5" s="11">
        <v>60000</v>
      </c>
      <c r="H5" s="1" t="s">
        <v>114</v>
      </c>
      <c r="I5" s="66">
        <f>Dashboard!$N$2</f>
        <v>0</v>
      </c>
      <c r="K5" s="9" t="s">
        <v>31</v>
      </c>
      <c r="L5" s="9" t="s">
        <v>32</v>
      </c>
      <c r="M5" s="9" t="s">
        <v>33</v>
      </c>
      <c r="N5" s="9" t="s">
        <v>34</v>
      </c>
    </row>
    <row r="6" spans="2:14">
      <c r="B6" s="1" t="s">
        <v>110</v>
      </c>
      <c r="C6" s="20">
        <v>0</v>
      </c>
      <c r="F6" s="1" t="s">
        <v>92</v>
      </c>
      <c r="G6" s="20">
        <v>0</v>
      </c>
      <c r="H6" s="1" t="s">
        <v>114</v>
      </c>
      <c r="I6" s="67" t="s">
        <v>5</v>
      </c>
      <c r="K6" s="24" t="s">
        <v>36</v>
      </c>
      <c r="L6" s="11">
        <f>'Monthly Budget'!D3</f>
        <v>0</v>
      </c>
      <c r="M6" s="11">
        <f>SUMIF(E:E,K6,G:G)</f>
        <v>0</v>
      </c>
      <c r="N6" s="12">
        <f>IF(M6&gt;L6,"OVER",IF(M6&gt;L6*0.9,"WARN","OK"))</f>
        <v>0</v>
      </c>
    </row>
    <row r="7" spans="2:14">
      <c r="B7" s="1" t="s">
        <v>111</v>
      </c>
      <c r="C7" s="22">
        <f>C6-C5</f>
        <v>0</v>
      </c>
      <c r="F7" s="1" t="s">
        <v>93</v>
      </c>
      <c r="G7" s="22">
        <f>G5+G6</f>
        <v>0</v>
      </c>
      <c r="K7" s="25" t="s">
        <v>37</v>
      </c>
      <c r="L7" s="11">
        <f>'Monthly Budget'!D4</f>
        <v>0</v>
      </c>
      <c r="M7" s="11">
        <f>SUMIF(E:E,K7,G:G)</f>
        <v>0</v>
      </c>
      <c r="N7" s="12">
        <f>IF(M7&gt;L7,"OVER",IF(M7&gt;L7*0.9,"WARN","OK"))</f>
        <v>0</v>
      </c>
    </row>
    <row r="8" spans="2:14">
      <c r="K8" s="27" t="s">
        <v>38</v>
      </c>
      <c r="L8" s="11">
        <f>'Monthly Budget'!D5</f>
        <v>0</v>
      </c>
      <c r="M8" s="11">
        <f>SUMIF(E:E,K8,G:G)</f>
        <v>0</v>
      </c>
      <c r="N8" s="12">
        <f>IF(M8&gt;L8,"OVER",IF(M8&gt;L8*0.9,"WARN","OK"))</f>
        <v>0</v>
      </c>
    </row>
    <row r="9" spans="2:14">
      <c r="B9" s="117" t="s">
        <v>95</v>
      </c>
      <c r="C9" s="117" t="s">
        <v>115</v>
      </c>
      <c r="D9" s="117" t="s">
        <v>116</v>
      </c>
      <c r="E9" s="117" t="s">
        <v>31</v>
      </c>
      <c r="F9" s="117" t="s">
        <v>117</v>
      </c>
      <c r="G9" s="117" t="s">
        <v>118</v>
      </c>
      <c r="H9" s="117" t="s">
        <v>119</v>
      </c>
      <c r="I9" s="117" t="s">
        <v>120</v>
      </c>
      <c r="K9" s="29" t="s">
        <v>39</v>
      </c>
      <c r="L9" s="11">
        <f>'Monthly Budget'!D6</f>
        <v>0</v>
      </c>
      <c r="M9" s="11">
        <f>SUMIF(E:E,K9,G:G)</f>
        <v>0</v>
      </c>
      <c r="N9" s="12">
        <f>IF(M9&gt;L9,"OVER",IF(M9&gt;L9*0.9,"WARN","OK"))</f>
        <v>0</v>
      </c>
    </row>
    <row r="10" spans="2:14">
      <c r="B10" s="12">
        <v>1</v>
      </c>
      <c r="C10" s="68">
        <v>46296</v>
      </c>
      <c r="D10" s="69" t="s">
        <v>121</v>
      </c>
      <c r="E10" s="70"/>
      <c r="F10" s="70"/>
      <c r="G10" s="20"/>
      <c r="H10" s="70"/>
      <c r="I10" s="11">
        <f>G10</f>
        <v>0</v>
      </c>
      <c r="K10" s="30" t="s">
        <v>40</v>
      </c>
      <c r="L10" s="11">
        <f>'Monthly Budget'!D7</f>
        <v>0</v>
      </c>
      <c r="M10" s="11">
        <f>SUMIF(E:E,K10,G:G)</f>
        <v>0</v>
      </c>
      <c r="N10" s="12">
        <f>IF(M10&gt;L10,"OVER",IF(M10&gt;L10*0.9,"WARN","OK"))</f>
        <v>0</v>
      </c>
    </row>
    <row r="11" spans="2:14">
      <c r="B11" s="12">
        <v>2</v>
      </c>
      <c r="C11" s="68">
        <v>46297</v>
      </c>
      <c r="D11" s="69" t="s">
        <v>122</v>
      </c>
      <c r="E11" s="70"/>
      <c r="F11" s="70"/>
      <c r="G11" s="20"/>
      <c r="H11" s="70"/>
      <c r="I11" s="11">
        <f>I10+G11</f>
        <v>0</v>
      </c>
      <c r="K11" s="31" t="s">
        <v>41</v>
      </c>
      <c r="L11" s="11">
        <f>'Monthly Budget'!D8</f>
        <v>0</v>
      </c>
      <c r="M11" s="11">
        <f>SUMIF(E:E,K11,G:G)</f>
        <v>0</v>
      </c>
      <c r="N11" s="12">
        <f>IF(M11&gt;L11,"OVER",IF(M11&gt;L11*0.9,"WARN","OK"))</f>
        <v>0</v>
      </c>
    </row>
    <row r="12" spans="2:14">
      <c r="B12" s="12">
        <v>3</v>
      </c>
      <c r="C12" s="71">
        <v>46298</v>
      </c>
      <c r="D12" s="72" t="s">
        <v>123</v>
      </c>
      <c r="E12" s="70"/>
      <c r="F12" s="70"/>
      <c r="G12" s="20"/>
      <c r="H12" s="70"/>
      <c r="I12" s="11">
        <f>I11+G12</f>
        <v>0</v>
      </c>
      <c r="K12" s="33" t="s">
        <v>42</v>
      </c>
      <c r="L12" s="11">
        <f>'Monthly Budget'!D9</f>
        <v>0</v>
      </c>
      <c r="M12" s="11">
        <f>SUMIF(E:E,K12,G:G)</f>
        <v>0</v>
      </c>
      <c r="N12" s="12">
        <f>IF(M12&gt;L12,"OVER",IF(M12&gt;L12*0.9,"WARN","OK"))</f>
        <v>0</v>
      </c>
    </row>
    <row r="13" spans="2:14">
      <c r="B13" s="12">
        <v>4</v>
      </c>
      <c r="C13" s="71">
        <v>46299</v>
      </c>
      <c r="D13" s="72" t="s">
        <v>124</v>
      </c>
      <c r="E13" s="70"/>
      <c r="F13" s="70"/>
      <c r="G13" s="20"/>
      <c r="H13" s="70"/>
      <c r="I13" s="11">
        <f>I12+G13</f>
        <v>0</v>
      </c>
      <c r="K13" s="38" t="s">
        <v>43</v>
      </c>
      <c r="L13" s="11">
        <f>'Monthly Budget'!D10</f>
        <v>0</v>
      </c>
      <c r="M13" s="11">
        <f>SUMIF(E:E,K13,G:G)</f>
        <v>0</v>
      </c>
      <c r="N13" s="12">
        <f>IF(M13&gt;L13,"OVER",IF(M13&gt;L13*0.9,"WARN","OK"))</f>
        <v>0</v>
      </c>
    </row>
    <row r="14" spans="2:14">
      <c r="B14" s="12">
        <v>5</v>
      </c>
      <c r="C14" s="68">
        <v>46300</v>
      </c>
      <c r="D14" s="69" t="s">
        <v>125</v>
      </c>
      <c r="E14" s="70"/>
      <c r="F14" s="70"/>
      <c r="G14" s="20"/>
      <c r="H14" s="70"/>
      <c r="I14" s="11">
        <f>I13+G14</f>
        <v>0</v>
      </c>
      <c r="K14" s="59" t="s">
        <v>83</v>
      </c>
      <c r="L14" s="11">
        <f>'Monthly Budget'!D11</f>
        <v>0</v>
      </c>
      <c r="M14" s="11">
        <f>SUMIF(E:E,K14,G:G)</f>
        <v>0</v>
      </c>
      <c r="N14" s="12">
        <f>IF(M14&gt;L14,"OVER",IF(M14&gt;L14*0.9,"WARN","OK"))</f>
        <v>0</v>
      </c>
    </row>
    <row r="15" spans="2:14">
      <c r="B15" s="12">
        <v>6</v>
      </c>
      <c r="C15" s="68">
        <v>46301</v>
      </c>
      <c r="D15" s="69" t="s">
        <v>126</v>
      </c>
      <c r="E15" s="70"/>
      <c r="F15" s="70"/>
      <c r="G15" s="20"/>
      <c r="H15" s="70"/>
      <c r="I15" s="11">
        <f>I14+G15</f>
        <v>0</v>
      </c>
      <c r="K15" s="60" t="s">
        <v>84</v>
      </c>
      <c r="L15" s="11">
        <f>'Monthly Budget'!D12</f>
        <v>0</v>
      </c>
      <c r="M15" s="11">
        <f>SUMIF(E:E,K15,G:G)</f>
        <v>0</v>
      </c>
      <c r="N15" s="12">
        <f>IF(M15&gt;L15,"OVER",IF(M15&gt;L15*0.9,"WARN","OK"))</f>
        <v>0</v>
      </c>
    </row>
    <row r="16" spans="2:14">
      <c r="B16" s="12">
        <v>7</v>
      </c>
      <c r="C16" s="68">
        <v>46302</v>
      </c>
      <c r="D16" s="69" t="s">
        <v>127</v>
      </c>
      <c r="E16" s="70"/>
      <c r="F16" s="70"/>
      <c r="G16" s="20"/>
      <c r="H16" s="70"/>
      <c r="I16" s="11">
        <f>I15+G16</f>
        <v>0</v>
      </c>
      <c r="K16" s="61" t="s">
        <v>85</v>
      </c>
      <c r="L16" s="11">
        <f>'Monthly Budget'!D13</f>
        <v>0</v>
      </c>
      <c r="M16" s="11">
        <f>SUMIF(E:E,K16,G:G)</f>
        <v>0</v>
      </c>
      <c r="N16" s="12">
        <f>IF(M16&gt;L16,"OVER",IF(M16&gt;L16*0.9,"WARN","OK"))</f>
        <v>0</v>
      </c>
    </row>
    <row r="17" spans="2:13">
      <c r="B17" s="12">
        <v>8</v>
      </c>
      <c r="C17" s="68">
        <v>46303</v>
      </c>
      <c r="D17" s="69" t="s">
        <v>121</v>
      </c>
      <c r="E17" s="70"/>
      <c r="F17" s="70"/>
      <c r="G17" s="20"/>
      <c r="H17" s="70"/>
      <c r="I17" s="11">
        <f>I16+G17</f>
        <v>0</v>
      </c>
      <c r="K17" s="52" t="s">
        <v>65</v>
      </c>
      <c r="L17" s="22">
        <f>SUM(L6:L16)</f>
        <v>0</v>
      </c>
      <c r="M17" s="22">
        <f>SUM(M6:M16)</f>
        <v>0</v>
      </c>
    </row>
    <row r="18" spans="2:13">
      <c r="B18" s="12">
        <v>9</v>
      </c>
      <c r="C18" s="68">
        <v>46304</v>
      </c>
      <c r="D18" s="69" t="s">
        <v>122</v>
      </c>
      <c r="E18" s="70"/>
      <c r="F18" s="70"/>
      <c r="G18" s="20"/>
      <c r="H18" s="70"/>
      <c r="I18" s="11">
        <f>I17+G18</f>
        <v>0</v>
      </c>
    </row>
    <row r="19" spans="2:13">
      <c r="B19" s="12">
        <v>10</v>
      </c>
      <c r="C19" s="71">
        <v>46305</v>
      </c>
      <c r="D19" s="72" t="s">
        <v>123</v>
      </c>
      <c r="E19" s="70"/>
      <c r="F19" s="70"/>
      <c r="G19" s="20"/>
      <c r="H19" s="70"/>
      <c r="I19" s="11">
        <f>I18+G19</f>
        <v>0</v>
      </c>
    </row>
    <row r="20" spans="2:13">
      <c r="B20" s="12">
        <v>11</v>
      </c>
      <c r="C20" s="71">
        <v>46306</v>
      </c>
      <c r="D20" s="72" t="s">
        <v>124</v>
      </c>
      <c r="E20" s="70"/>
      <c r="F20" s="70"/>
      <c r="G20" s="20"/>
      <c r="H20" s="70"/>
      <c r="I20" s="11">
        <f>I19+G20</f>
        <v>0</v>
      </c>
    </row>
    <row r="21" spans="2:13">
      <c r="B21" s="12">
        <v>12</v>
      </c>
      <c r="C21" s="68">
        <v>46307</v>
      </c>
      <c r="D21" s="69" t="s">
        <v>125</v>
      </c>
      <c r="E21" s="70"/>
      <c r="F21" s="70"/>
      <c r="G21" s="20"/>
      <c r="H21" s="70"/>
      <c r="I21" s="11">
        <f>I20+G21</f>
        <v>0</v>
      </c>
    </row>
    <row r="22" spans="2:13">
      <c r="B22" s="12">
        <v>13</v>
      </c>
      <c r="C22" s="68">
        <v>46308</v>
      </c>
      <c r="D22" s="69" t="s">
        <v>126</v>
      </c>
      <c r="E22" s="70"/>
      <c r="F22" s="70"/>
      <c r="G22" s="20"/>
      <c r="H22" s="70"/>
      <c r="I22" s="11">
        <f>I21+G22</f>
        <v>0</v>
      </c>
    </row>
    <row r="23" spans="2:13">
      <c r="B23" s="12">
        <v>14</v>
      </c>
      <c r="C23" s="68">
        <v>46309</v>
      </c>
      <c r="D23" s="69" t="s">
        <v>127</v>
      </c>
      <c r="E23" s="70"/>
      <c r="F23" s="70"/>
      <c r="G23" s="20"/>
      <c r="H23" s="70"/>
      <c r="I23" s="11">
        <f>I22+G23</f>
        <v>0</v>
      </c>
    </row>
    <row r="24" spans="2:13">
      <c r="B24" s="12">
        <v>15</v>
      </c>
      <c r="C24" s="68">
        <v>46310</v>
      </c>
      <c r="D24" s="69" t="s">
        <v>121</v>
      </c>
      <c r="E24" s="70"/>
      <c r="F24" s="70"/>
      <c r="G24" s="20"/>
      <c r="H24" s="70"/>
      <c r="I24" s="11">
        <f>I23+G24</f>
        <v>0</v>
      </c>
    </row>
    <row r="25" spans="2:13">
      <c r="B25" s="12">
        <v>16</v>
      </c>
      <c r="C25" s="68">
        <v>46311</v>
      </c>
      <c r="D25" s="69" t="s">
        <v>122</v>
      </c>
      <c r="E25" s="70"/>
      <c r="F25" s="70"/>
      <c r="G25" s="20"/>
      <c r="H25" s="70"/>
      <c r="I25" s="11">
        <f>I24+G25</f>
        <v>0</v>
      </c>
    </row>
    <row r="26" spans="2:13">
      <c r="B26" s="12">
        <v>17</v>
      </c>
      <c r="C26" s="71">
        <v>46312</v>
      </c>
      <c r="D26" s="72" t="s">
        <v>123</v>
      </c>
      <c r="E26" s="70"/>
      <c r="F26" s="70"/>
      <c r="G26" s="20"/>
      <c r="H26" s="70"/>
      <c r="I26" s="11">
        <f>I25+G26</f>
        <v>0</v>
      </c>
    </row>
    <row r="27" spans="2:13">
      <c r="B27" s="12">
        <v>18</v>
      </c>
      <c r="C27" s="71">
        <v>46313</v>
      </c>
      <c r="D27" s="72" t="s">
        <v>124</v>
      </c>
      <c r="E27" s="70"/>
      <c r="F27" s="70"/>
      <c r="G27" s="20"/>
      <c r="H27" s="70"/>
      <c r="I27" s="11">
        <f>I26+G27</f>
        <v>0</v>
      </c>
    </row>
    <row r="28" spans="2:13">
      <c r="B28" s="12">
        <v>19</v>
      </c>
      <c r="C28" s="68">
        <v>46314</v>
      </c>
      <c r="D28" s="69" t="s">
        <v>125</v>
      </c>
      <c r="E28" s="70"/>
      <c r="F28" s="70"/>
      <c r="G28" s="20"/>
      <c r="H28" s="70"/>
      <c r="I28" s="11">
        <f>I27+G28</f>
        <v>0</v>
      </c>
    </row>
    <row r="29" spans="2:13">
      <c r="B29" s="12">
        <v>20</v>
      </c>
      <c r="C29" s="68">
        <v>46315</v>
      </c>
      <c r="D29" s="69" t="s">
        <v>126</v>
      </c>
      <c r="E29" s="70"/>
      <c r="F29" s="70"/>
      <c r="G29" s="20"/>
      <c r="H29" s="70"/>
      <c r="I29" s="11">
        <f>I28+G29</f>
        <v>0</v>
      </c>
    </row>
    <row r="30" spans="2:13">
      <c r="B30" s="12">
        <v>21</v>
      </c>
      <c r="C30" s="68">
        <v>46316</v>
      </c>
      <c r="D30" s="69" t="s">
        <v>127</v>
      </c>
      <c r="E30" s="70"/>
      <c r="F30" s="70"/>
      <c r="G30" s="20"/>
      <c r="H30" s="70"/>
      <c r="I30" s="11">
        <f>I29+G30</f>
        <v>0</v>
      </c>
    </row>
    <row r="31" spans="2:13">
      <c r="B31" s="12">
        <v>22</v>
      </c>
      <c r="C31" s="68">
        <v>46317</v>
      </c>
      <c r="D31" s="69" t="s">
        <v>121</v>
      </c>
      <c r="E31" s="70"/>
      <c r="F31" s="70"/>
      <c r="G31" s="20"/>
      <c r="H31" s="70"/>
      <c r="I31" s="11">
        <f>I30+G31</f>
        <v>0</v>
      </c>
    </row>
    <row r="32" spans="2:13">
      <c r="B32" s="12">
        <v>23</v>
      </c>
      <c r="C32" s="68">
        <v>46318</v>
      </c>
      <c r="D32" s="69" t="s">
        <v>122</v>
      </c>
      <c r="E32" s="70"/>
      <c r="F32" s="70"/>
      <c r="G32" s="20"/>
      <c r="H32" s="70"/>
      <c r="I32" s="11">
        <f>I31+G32</f>
        <v>0</v>
      </c>
    </row>
    <row r="33" spans="2:9">
      <c r="B33" s="12">
        <v>24</v>
      </c>
      <c r="C33" s="71">
        <v>46319</v>
      </c>
      <c r="D33" s="72" t="s">
        <v>123</v>
      </c>
      <c r="E33" s="70"/>
      <c r="F33" s="70"/>
      <c r="G33" s="20"/>
      <c r="H33" s="70"/>
      <c r="I33" s="11">
        <f>I32+G33</f>
        <v>0</v>
      </c>
    </row>
    <row r="34" spans="2:9">
      <c r="B34" s="12">
        <v>25</v>
      </c>
      <c r="C34" s="71">
        <v>46320</v>
      </c>
      <c r="D34" s="72" t="s">
        <v>124</v>
      </c>
      <c r="E34" s="70"/>
      <c r="F34" s="70"/>
      <c r="G34" s="20"/>
      <c r="H34" s="70"/>
      <c r="I34" s="11">
        <f>I33+G34</f>
        <v>0</v>
      </c>
    </row>
    <row r="35" spans="2:9">
      <c r="B35" s="12">
        <v>26</v>
      </c>
      <c r="C35" s="68">
        <v>46321</v>
      </c>
      <c r="D35" s="69" t="s">
        <v>125</v>
      </c>
      <c r="E35" s="70"/>
      <c r="F35" s="70"/>
      <c r="G35" s="20"/>
      <c r="H35" s="70"/>
      <c r="I35" s="11">
        <f>I34+G35</f>
        <v>0</v>
      </c>
    </row>
    <row r="36" spans="2:9">
      <c r="B36" s="12">
        <v>27</v>
      </c>
      <c r="C36" s="68">
        <v>46322</v>
      </c>
      <c r="D36" s="69" t="s">
        <v>126</v>
      </c>
      <c r="E36" s="70"/>
      <c r="F36" s="70"/>
      <c r="G36" s="20"/>
      <c r="H36" s="70"/>
      <c r="I36" s="11">
        <f>I35+G36</f>
        <v>0</v>
      </c>
    </row>
    <row r="37" spans="2:9">
      <c r="B37" s="12">
        <v>28</v>
      </c>
      <c r="C37" s="68">
        <v>46323</v>
      </c>
      <c r="D37" s="69" t="s">
        <v>127</v>
      </c>
      <c r="E37" s="70"/>
      <c r="F37" s="70"/>
      <c r="G37" s="20"/>
      <c r="H37" s="70"/>
      <c r="I37" s="11">
        <f>I36+G37</f>
        <v>0</v>
      </c>
    </row>
    <row r="38" spans="2:9">
      <c r="B38" s="12">
        <v>29</v>
      </c>
      <c r="C38" s="68">
        <v>46324</v>
      </c>
      <c r="D38" s="69" t="s">
        <v>121</v>
      </c>
      <c r="E38" s="70"/>
      <c r="F38" s="70"/>
      <c r="G38" s="20"/>
      <c r="H38" s="70"/>
      <c r="I38" s="11">
        <f>I37+G38</f>
        <v>0</v>
      </c>
    </row>
    <row r="39" spans="2:9">
      <c r="B39" s="12">
        <v>30</v>
      </c>
      <c r="C39" s="68">
        <v>46325</v>
      </c>
      <c r="D39" s="69" t="s">
        <v>122</v>
      </c>
      <c r="E39" s="70"/>
      <c r="F39" s="70"/>
      <c r="G39" s="20"/>
      <c r="H39" s="70"/>
      <c r="I39" s="11">
        <f>I38+G39</f>
        <v>0</v>
      </c>
    </row>
    <row r="40" spans="2:9">
      <c r="B40" s="12">
        <v>31</v>
      </c>
      <c r="C40" s="71">
        <v>46326</v>
      </c>
      <c r="D40" s="72" t="s">
        <v>123</v>
      </c>
      <c r="E40" s="70"/>
      <c r="F40" s="70"/>
      <c r="G40" s="20"/>
      <c r="H40" s="70"/>
      <c r="I40" s="11">
        <f>I39+G40</f>
        <v>0</v>
      </c>
    </row>
    <row r="41" spans="2:9">
      <c r="F41" s="118" t="s">
        <v>128</v>
      </c>
      <c r="G41" s="119">
        <f>SUM(G10:G40)</f>
        <v>0</v>
      </c>
    </row>
  </sheetData>
  <mergeCells count="5">
    <mergeCell ref="B1:I1"/>
    <mergeCell ref="B2:I2"/>
    <mergeCell ref="B4:D4"/>
    <mergeCell ref="F4:I4"/>
    <mergeCell ref="K4:N4"/>
  </mergeCells>
  <conditionalFormatting sqref="E10:E40">
    <cfRule type="containsText" dxfId="3" priority="1" operator="containsText" text="Rent + Utilities">
      <formula>NOT(ISERROR(SEARCH("Rent + Utilities",E10)))</formula>
    </cfRule>
    <cfRule type="containsText" dxfId="4" priority="2" operator="containsText" text="Electricity Deposit">
      <formula>NOT(ISERROR(SEARCH("Electricity Deposit",E10)))</formula>
    </cfRule>
    <cfRule type="containsText" dxfId="5" priority="3" operator="containsText" text="Internet &amp; Phone Bills">
      <formula>NOT(ISERROR(SEARCH("Internet &amp; Phone Bills",E10)))</formula>
    </cfRule>
    <cfRule type="containsText" dxfId="6" priority="4" operator="containsText" text="Food &amp; Groceries">
      <formula>NOT(ISERROR(SEARCH("Food &amp; Groceries",E10)))</formula>
    </cfRule>
    <cfRule type="containsText" dxfId="7" priority="5" operator="containsText" text="Investments">
      <formula>NOT(ISERROR(SEARCH("Investments",E10)))</formula>
    </cfRule>
    <cfRule type="containsText" dxfId="8" priority="6" operator="containsText" text="Date Nights">
      <formula>NOT(ISERROR(SEARCH("Date Nights",E10)))</formula>
    </cfRule>
    <cfRule type="containsText" dxfId="9" priority="7" operator="containsText" text="Annual Costs Savings">
      <formula>NOT(ISERROR(SEARCH("Annual Costs Savings",E10)))</formula>
    </cfRule>
    <cfRule type="containsText" dxfId="10" priority="8" operator="containsText" text="Emergency Buffer">
      <formula>NOT(ISERROR(SEARCH("Emergency Buffer",E10)))</formula>
    </cfRule>
    <cfRule type="containsText" dxfId="11" priority="9" operator="containsText" text="Personal Care">
      <formula>NOT(ISERROR(SEARCH("Personal Care",E10)))</formula>
    </cfRule>
    <cfRule type="containsText" dxfId="12" priority="10" operator="containsText" text="Personal Savings">
      <formula>NOT(ISERROR(SEARCH("Personal Savings",E10)))</formula>
    </cfRule>
    <cfRule type="containsText" dxfId="13" priority="11" operator="containsText" text="Miscellaneous">
      <formula>NOT(ISERROR(SEARCH("Miscellaneous",E10)))</formula>
    </cfRule>
  </conditionalFormatting>
  <conditionalFormatting sqref="N10">
    <cfRule type="containsText" dxfId="0" priority="24" operator="containsText" text="OVER">
      <formula>NOT(ISERROR(SEARCH("OVER",N10)))</formula>
    </cfRule>
    <cfRule type="containsText" dxfId="1" priority="25" operator="containsText" text="WARN">
      <formula>NOT(ISERROR(SEARCH("WARN",N10)))</formula>
    </cfRule>
    <cfRule type="containsText" dxfId="2" priority="26" operator="containsText" text="OK">
      <formula>NOT(ISERROR(SEARCH("OK",N10)))</formula>
    </cfRule>
  </conditionalFormatting>
  <conditionalFormatting sqref="N11">
    <cfRule type="containsText" dxfId="0" priority="27" operator="containsText" text="OVER">
      <formula>NOT(ISERROR(SEARCH("OVER",N11)))</formula>
    </cfRule>
    <cfRule type="containsText" dxfId="1" priority="28" operator="containsText" text="WARN">
      <formula>NOT(ISERROR(SEARCH("WARN",N11)))</formula>
    </cfRule>
    <cfRule type="containsText" dxfId="2" priority="29" operator="containsText" text="OK">
      <formula>NOT(ISERROR(SEARCH("OK",N11)))</formula>
    </cfRule>
  </conditionalFormatting>
  <conditionalFormatting sqref="N12">
    <cfRule type="containsText" dxfId="0" priority="30" operator="containsText" text="OVER">
      <formula>NOT(ISERROR(SEARCH("OVER",N12)))</formula>
    </cfRule>
    <cfRule type="containsText" dxfId="1" priority="31" operator="containsText" text="WARN">
      <formula>NOT(ISERROR(SEARCH("WARN",N12)))</formula>
    </cfRule>
    <cfRule type="containsText" dxfId="2" priority="32" operator="containsText" text="OK">
      <formula>NOT(ISERROR(SEARCH("OK",N12)))</formula>
    </cfRule>
  </conditionalFormatting>
  <conditionalFormatting sqref="N13">
    <cfRule type="containsText" dxfId="0" priority="33" operator="containsText" text="OVER">
      <formula>NOT(ISERROR(SEARCH("OVER",N13)))</formula>
    </cfRule>
    <cfRule type="containsText" dxfId="1" priority="34" operator="containsText" text="WARN">
      <formula>NOT(ISERROR(SEARCH("WARN",N13)))</formula>
    </cfRule>
    <cfRule type="containsText" dxfId="2" priority="35" operator="containsText" text="OK">
      <formula>NOT(ISERROR(SEARCH("OK",N13)))</formula>
    </cfRule>
  </conditionalFormatting>
  <conditionalFormatting sqref="N14">
    <cfRule type="containsText" dxfId="0" priority="36" operator="containsText" text="OVER">
      <formula>NOT(ISERROR(SEARCH("OVER",N14)))</formula>
    </cfRule>
    <cfRule type="containsText" dxfId="1" priority="37" operator="containsText" text="WARN">
      <formula>NOT(ISERROR(SEARCH("WARN",N14)))</formula>
    </cfRule>
    <cfRule type="containsText" dxfId="2" priority="38" operator="containsText" text="OK">
      <formula>NOT(ISERROR(SEARCH("OK",N14)))</formula>
    </cfRule>
  </conditionalFormatting>
  <conditionalFormatting sqref="N15">
    <cfRule type="containsText" dxfId="0" priority="39" operator="containsText" text="OVER">
      <formula>NOT(ISERROR(SEARCH("OVER",N15)))</formula>
    </cfRule>
    <cfRule type="containsText" dxfId="1" priority="40" operator="containsText" text="WARN">
      <formula>NOT(ISERROR(SEARCH("WARN",N15)))</formula>
    </cfRule>
    <cfRule type="containsText" dxfId="2" priority="41" operator="containsText" text="OK">
      <formula>NOT(ISERROR(SEARCH("OK",N15)))</formula>
    </cfRule>
  </conditionalFormatting>
  <conditionalFormatting sqref="N16">
    <cfRule type="containsText" dxfId="0" priority="42" operator="containsText" text="OVER">
      <formula>NOT(ISERROR(SEARCH("OVER",N16)))</formula>
    </cfRule>
    <cfRule type="containsText" dxfId="1" priority="43" operator="containsText" text="WARN">
      <formula>NOT(ISERROR(SEARCH("WARN",N16)))</formula>
    </cfRule>
    <cfRule type="containsText" dxfId="2" priority="44" operator="containsText" text="OK">
      <formula>NOT(ISERROR(SEARCH("OK",N16)))</formula>
    </cfRule>
  </conditionalFormatting>
  <conditionalFormatting sqref="N6">
    <cfRule type="containsText" dxfId="0" priority="12" operator="containsText" text="OVER">
      <formula>NOT(ISERROR(SEARCH("OVER",N6)))</formula>
    </cfRule>
    <cfRule type="containsText" dxfId="1" priority="13" operator="containsText" text="WARN">
      <formula>NOT(ISERROR(SEARCH("WARN",N6)))</formula>
    </cfRule>
    <cfRule type="containsText" dxfId="2" priority="14" operator="containsText" text="OK">
      <formula>NOT(ISERROR(SEARCH("OK",N6)))</formula>
    </cfRule>
  </conditionalFormatting>
  <conditionalFormatting sqref="N7">
    <cfRule type="containsText" dxfId="0" priority="15" operator="containsText" text="OVER">
      <formula>NOT(ISERROR(SEARCH("OVER",N7)))</formula>
    </cfRule>
    <cfRule type="containsText" dxfId="1" priority="16" operator="containsText" text="WARN">
      <formula>NOT(ISERROR(SEARCH("WARN",N7)))</formula>
    </cfRule>
    <cfRule type="containsText" dxfId="2" priority="17" operator="containsText" text="OK">
      <formula>NOT(ISERROR(SEARCH("OK",N7)))</formula>
    </cfRule>
  </conditionalFormatting>
  <conditionalFormatting sqref="N8">
    <cfRule type="containsText" dxfId="0" priority="18" operator="containsText" text="OVER">
      <formula>NOT(ISERROR(SEARCH("OVER",N8)))</formula>
    </cfRule>
    <cfRule type="containsText" dxfId="1" priority="19" operator="containsText" text="WARN">
      <formula>NOT(ISERROR(SEARCH("WARN",N8)))</formula>
    </cfRule>
    <cfRule type="containsText" dxfId="2" priority="20" operator="containsText" text="OK">
      <formula>NOT(ISERROR(SEARCH("OK",N8)))</formula>
    </cfRule>
  </conditionalFormatting>
  <conditionalFormatting sqref="N9">
    <cfRule type="containsText" dxfId="0" priority="21" operator="containsText" text="OVER">
      <formula>NOT(ISERROR(SEARCH("OVER",N9)))</formula>
    </cfRule>
    <cfRule type="containsText" dxfId="1" priority="22" operator="containsText" text="WARN">
      <formula>NOT(ISERROR(SEARCH("WARN",N9)))</formula>
    </cfRule>
    <cfRule type="containsText" dxfId="2" priority="23" operator="containsText" text="OK">
      <formula>NOT(ISERROR(SEARCH("OK",N9)))</formula>
    </cfRule>
  </conditionalFormatting>
  <dataValidations count="63">
    <dataValidation type="list" allowBlank="1" showInputMessage="1" showErrorMessage="1" sqref="I6">
      <formula1>"CZK,USD,EUR,NGN"</formula1>
    </dataValidation>
    <dataValidation type="list" allowBlank="1" showInputMessage="1" showErrorMessage="1" sqref="E1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0">
      <formula1>"Cash,Card,Transfer,Online"</formula1>
    </dataValidation>
    <dataValidation type="list" allowBlank="1" showInputMessage="1" showErrorMessage="1" sqref="E1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1">
      <formula1>"Cash,Card,Transfer,Online"</formula1>
    </dataValidation>
    <dataValidation type="list" allowBlank="1" showInputMessage="1" showErrorMessage="1" sqref="E1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2">
      <formula1>"Cash,Card,Transfer,Online"</formula1>
    </dataValidation>
    <dataValidation type="list" allowBlank="1" showInputMessage="1" showErrorMessage="1" sqref="E1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3">
      <formula1>"Cash,Card,Transfer,Online"</formula1>
    </dataValidation>
    <dataValidation type="list" allowBlank="1" showInputMessage="1" showErrorMessage="1" sqref="E1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4">
      <formula1>"Cash,Card,Transfer,Online"</formula1>
    </dataValidation>
    <dataValidation type="list" allowBlank="1" showInputMessage="1" showErrorMessage="1" sqref="E1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5">
      <formula1>"Cash,Card,Transfer,Online"</formula1>
    </dataValidation>
    <dataValidation type="list" allowBlank="1" showInputMessage="1" showErrorMessage="1" sqref="E1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6">
      <formula1>"Cash,Card,Transfer,Online"</formula1>
    </dataValidation>
    <dataValidation type="list" allowBlank="1" showInputMessage="1" showErrorMessage="1" sqref="E1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7">
      <formula1>"Cash,Card,Transfer,Online"</formula1>
    </dataValidation>
    <dataValidation type="list" allowBlank="1" showInputMessage="1" showErrorMessage="1" sqref="E1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8">
      <formula1>"Cash,Card,Transfer,Online"</formula1>
    </dataValidation>
    <dataValidation type="list" allowBlank="1" showInputMessage="1" showErrorMessage="1" sqref="E1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9">
      <formula1>"Cash,Card,Transfer,Online"</formula1>
    </dataValidation>
    <dataValidation type="list" allowBlank="1" showInputMessage="1" showErrorMessage="1" sqref="E2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0">
      <formula1>"Cash,Card,Transfer,Online"</formula1>
    </dataValidation>
    <dataValidation type="list" allowBlank="1" showInputMessage="1" showErrorMessage="1" sqref="E2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1">
      <formula1>"Cash,Card,Transfer,Online"</formula1>
    </dataValidation>
    <dataValidation type="list" allowBlank="1" showInputMessage="1" showErrorMessage="1" sqref="E2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2">
      <formula1>"Cash,Card,Transfer,Online"</formula1>
    </dataValidation>
    <dataValidation type="list" allowBlank="1" showInputMessage="1" showErrorMessage="1" sqref="E2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3">
      <formula1>"Cash,Card,Transfer,Online"</formula1>
    </dataValidation>
    <dataValidation type="list" allowBlank="1" showInputMessage="1" showErrorMessage="1" sqref="E2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4">
      <formula1>"Cash,Card,Transfer,Online"</formula1>
    </dataValidation>
    <dataValidation type="list" allowBlank="1" showInputMessage="1" showErrorMessage="1" sqref="E2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5">
      <formula1>"Cash,Card,Transfer,Online"</formula1>
    </dataValidation>
    <dataValidation type="list" allowBlank="1" showInputMessage="1" showErrorMessage="1" sqref="E2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6">
      <formula1>"Cash,Card,Transfer,Online"</formula1>
    </dataValidation>
    <dataValidation type="list" allowBlank="1" showInputMessage="1" showErrorMessage="1" sqref="E2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7">
      <formula1>"Cash,Card,Transfer,Online"</formula1>
    </dataValidation>
    <dataValidation type="list" allowBlank="1" showInputMessage="1" showErrorMessage="1" sqref="E2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8">
      <formula1>"Cash,Card,Transfer,Online"</formula1>
    </dataValidation>
    <dataValidation type="list" allowBlank="1" showInputMessage="1" showErrorMessage="1" sqref="E2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9">
      <formula1>"Cash,Card,Transfer,Online"</formula1>
    </dataValidation>
    <dataValidation type="list" allowBlank="1" showInputMessage="1" showErrorMessage="1" sqref="E3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0">
      <formula1>"Cash,Card,Transfer,Online"</formula1>
    </dataValidation>
    <dataValidation type="list" allowBlank="1" showInputMessage="1" showErrorMessage="1" sqref="E3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1">
      <formula1>"Cash,Card,Transfer,Online"</formula1>
    </dataValidation>
    <dataValidation type="list" allowBlank="1" showInputMessage="1" showErrorMessage="1" sqref="E3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2">
      <formula1>"Cash,Card,Transfer,Online"</formula1>
    </dataValidation>
    <dataValidation type="list" allowBlank="1" showInputMessage="1" showErrorMessage="1" sqref="E3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3">
      <formula1>"Cash,Card,Transfer,Online"</formula1>
    </dataValidation>
    <dataValidation type="list" allowBlank="1" showInputMessage="1" showErrorMessage="1" sqref="E3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4">
      <formula1>"Cash,Card,Transfer,Online"</formula1>
    </dataValidation>
    <dataValidation type="list" allowBlank="1" showInputMessage="1" showErrorMessage="1" sqref="E3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5">
      <formula1>"Cash,Card,Transfer,Online"</formula1>
    </dataValidation>
    <dataValidation type="list" allowBlank="1" showInputMessage="1" showErrorMessage="1" sqref="E3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6">
      <formula1>"Cash,Card,Transfer,Online"</formula1>
    </dataValidation>
    <dataValidation type="list" allowBlank="1" showInputMessage="1" showErrorMessage="1" sqref="E3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7">
      <formula1>"Cash,Card,Transfer,Online"</formula1>
    </dataValidation>
    <dataValidation type="list" allowBlank="1" showInputMessage="1" showErrorMessage="1" sqref="E3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8">
      <formula1>"Cash,Card,Transfer,Online"</formula1>
    </dataValidation>
    <dataValidation type="list" allowBlank="1" showInputMessage="1" showErrorMessage="1" sqref="E3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9">
      <formula1>"Cash,Card,Transfer,Online"</formula1>
    </dataValidation>
    <dataValidation type="list" allowBlank="1" showInputMessage="1" showErrorMessage="1" sqref="E4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40">
      <formula1>"Cash,Card,Transfer,Online"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795548"/>
  </sheetPr>
  <dimension ref="B1:N40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/>
  <cols>
    <col min="1" max="1" width="5.7109375" customWidth="1"/>
    <col min="2" max="2" width="6.7109375" customWidth="1"/>
    <col min="3" max="3" width="14.7109375" customWidth="1"/>
    <col min="4" max="4" width="12.7109375" customWidth="1"/>
    <col min="5" max="5" width="28.7109375" customWidth="1"/>
    <col min="6" max="6" width="38.7109375" customWidth="1"/>
    <col min="7" max="7" width="20.7109375" customWidth="1"/>
    <col min="8" max="8" width="16.7109375" customWidth="1"/>
    <col min="9" max="9" width="20.7109375" customWidth="1"/>
    <col min="11" max="11" width="28.7109375" customWidth="1"/>
    <col min="12" max="13" width="18.7109375" customWidth="1"/>
    <col min="14" max="14" width="14.7109375" customWidth="1"/>
  </cols>
  <sheetData>
    <row r="1" spans="2:14" ht="45" customHeight="1">
      <c r="B1" s="120" t="s">
        <v>157</v>
      </c>
      <c r="C1" s="120"/>
      <c r="D1" s="120"/>
      <c r="E1" s="120"/>
      <c r="F1" s="120"/>
      <c r="G1" s="120"/>
      <c r="H1" s="120"/>
      <c r="I1" s="120"/>
    </row>
    <row r="2" spans="2:14">
      <c r="B2" s="121" t="s">
        <v>158</v>
      </c>
      <c r="C2" s="121"/>
      <c r="D2" s="121"/>
      <c r="E2" s="121"/>
      <c r="F2" s="121"/>
      <c r="G2" s="121"/>
      <c r="H2" s="121"/>
      <c r="I2" s="121"/>
    </row>
    <row r="4" spans="2:14">
      <c r="B4" s="122" t="s">
        <v>108</v>
      </c>
      <c r="C4" s="122"/>
      <c r="D4" s="122"/>
      <c r="F4" s="122" t="s">
        <v>112</v>
      </c>
      <c r="G4" s="122"/>
      <c r="H4" s="122"/>
      <c r="I4" s="122"/>
      <c r="K4" s="122" t="s">
        <v>159</v>
      </c>
      <c r="L4" s="122"/>
      <c r="M4" s="122"/>
      <c r="N4" s="122"/>
    </row>
    <row r="5" spans="2:14">
      <c r="B5" s="1" t="s">
        <v>109</v>
      </c>
      <c r="C5" s="20">
        <v>0</v>
      </c>
      <c r="F5" s="1" t="s">
        <v>113</v>
      </c>
      <c r="G5" s="11">
        <v>60000</v>
      </c>
      <c r="H5" s="1" t="s">
        <v>114</v>
      </c>
      <c r="I5" s="66">
        <f>Dashboard!$N$2</f>
        <v>0</v>
      </c>
      <c r="K5" s="9" t="s">
        <v>31</v>
      </c>
      <c r="L5" s="9" t="s">
        <v>32</v>
      </c>
      <c r="M5" s="9" t="s">
        <v>33</v>
      </c>
      <c r="N5" s="9" t="s">
        <v>34</v>
      </c>
    </row>
    <row r="6" spans="2:14">
      <c r="B6" s="1" t="s">
        <v>110</v>
      </c>
      <c r="C6" s="20">
        <v>0</v>
      </c>
      <c r="F6" s="1" t="s">
        <v>92</v>
      </c>
      <c r="G6" s="20">
        <v>0</v>
      </c>
      <c r="H6" s="1" t="s">
        <v>114</v>
      </c>
      <c r="I6" s="67" t="s">
        <v>5</v>
      </c>
      <c r="K6" s="24" t="s">
        <v>36</v>
      </c>
      <c r="L6" s="11">
        <f>'Monthly Budget'!D3</f>
        <v>0</v>
      </c>
      <c r="M6" s="11">
        <f>SUMIF(E:E,K6,G:G)</f>
        <v>0</v>
      </c>
      <c r="N6" s="12">
        <f>IF(M6&gt;L6,"OVER",IF(M6&gt;L6*0.9,"WARN","OK"))</f>
        <v>0</v>
      </c>
    </row>
    <row r="7" spans="2:14">
      <c r="B7" s="1" t="s">
        <v>111</v>
      </c>
      <c r="C7" s="22">
        <f>C6-C5</f>
        <v>0</v>
      </c>
      <c r="F7" s="1" t="s">
        <v>93</v>
      </c>
      <c r="G7" s="22">
        <f>G5+G6</f>
        <v>0</v>
      </c>
      <c r="K7" s="25" t="s">
        <v>37</v>
      </c>
      <c r="L7" s="11">
        <f>'Monthly Budget'!D4</f>
        <v>0</v>
      </c>
      <c r="M7" s="11">
        <f>SUMIF(E:E,K7,G:G)</f>
        <v>0</v>
      </c>
      <c r="N7" s="12">
        <f>IF(M7&gt;L7,"OVER",IF(M7&gt;L7*0.9,"WARN","OK"))</f>
        <v>0</v>
      </c>
    </row>
    <row r="8" spans="2:14">
      <c r="K8" s="27" t="s">
        <v>38</v>
      </c>
      <c r="L8" s="11">
        <f>'Monthly Budget'!D5</f>
        <v>0</v>
      </c>
      <c r="M8" s="11">
        <f>SUMIF(E:E,K8,G:G)</f>
        <v>0</v>
      </c>
      <c r="N8" s="12">
        <f>IF(M8&gt;L8,"OVER",IF(M8&gt;L8*0.9,"WARN","OK"))</f>
        <v>0</v>
      </c>
    </row>
    <row r="9" spans="2:14">
      <c r="B9" s="122" t="s">
        <v>95</v>
      </c>
      <c r="C9" s="122" t="s">
        <v>115</v>
      </c>
      <c r="D9" s="122" t="s">
        <v>116</v>
      </c>
      <c r="E9" s="122" t="s">
        <v>31</v>
      </c>
      <c r="F9" s="122" t="s">
        <v>117</v>
      </c>
      <c r="G9" s="122" t="s">
        <v>118</v>
      </c>
      <c r="H9" s="122" t="s">
        <v>119</v>
      </c>
      <c r="I9" s="122" t="s">
        <v>120</v>
      </c>
      <c r="K9" s="29" t="s">
        <v>39</v>
      </c>
      <c r="L9" s="11">
        <f>'Monthly Budget'!D6</f>
        <v>0</v>
      </c>
      <c r="M9" s="11">
        <f>SUMIF(E:E,K9,G:G)</f>
        <v>0</v>
      </c>
      <c r="N9" s="12">
        <f>IF(M9&gt;L9,"OVER",IF(M9&gt;L9*0.9,"WARN","OK"))</f>
        <v>0</v>
      </c>
    </row>
    <row r="10" spans="2:14">
      <c r="B10" s="12">
        <v>1</v>
      </c>
      <c r="C10" s="71">
        <v>46327</v>
      </c>
      <c r="D10" s="72" t="s">
        <v>124</v>
      </c>
      <c r="E10" s="70"/>
      <c r="F10" s="70"/>
      <c r="G10" s="20"/>
      <c r="H10" s="70"/>
      <c r="I10" s="11">
        <f>G10</f>
        <v>0</v>
      </c>
      <c r="K10" s="30" t="s">
        <v>40</v>
      </c>
      <c r="L10" s="11">
        <f>'Monthly Budget'!D7</f>
        <v>0</v>
      </c>
      <c r="M10" s="11">
        <f>SUMIF(E:E,K10,G:G)</f>
        <v>0</v>
      </c>
      <c r="N10" s="12">
        <f>IF(M10&gt;L10,"OVER",IF(M10&gt;L10*0.9,"WARN","OK"))</f>
        <v>0</v>
      </c>
    </row>
    <row r="11" spans="2:14">
      <c r="B11" s="12">
        <v>2</v>
      </c>
      <c r="C11" s="68">
        <v>46328</v>
      </c>
      <c r="D11" s="69" t="s">
        <v>125</v>
      </c>
      <c r="E11" s="70"/>
      <c r="F11" s="70"/>
      <c r="G11" s="20"/>
      <c r="H11" s="70"/>
      <c r="I11" s="11">
        <f>I10+G11</f>
        <v>0</v>
      </c>
      <c r="K11" s="31" t="s">
        <v>41</v>
      </c>
      <c r="L11" s="11">
        <f>'Monthly Budget'!D8</f>
        <v>0</v>
      </c>
      <c r="M11" s="11">
        <f>SUMIF(E:E,K11,G:G)</f>
        <v>0</v>
      </c>
      <c r="N11" s="12">
        <f>IF(M11&gt;L11,"OVER",IF(M11&gt;L11*0.9,"WARN","OK"))</f>
        <v>0</v>
      </c>
    </row>
    <row r="12" spans="2:14">
      <c r="B12" s="12">
        <v>3</v>
      </c>
      <c r="C12" s="68">
        <v>46329</v>
      </c>
      <c r="D12" s="69" t="s">
        <v>126</v>
      </c>
      <c r="E12" s="70"/>
      <c r="F12" s="70"/>
      <c r="G12" s="20"/>
      <c r="H12" s="70"/>
      <c r="I12" s="11">
        <f>I11+G12</f>
        <v>0</v>
      </c>
      <c r="K12" s="33" t="s">
        <v>42</v>
      </c>
      <c r="L12" s="11">
        <f>'Monthly Budget'!D9</f>
        <v>0</v>
      </c>
      <c r="M12" s="11">
        <f>SUMIF(E:E,K12,G:G)</f>
        <v>0</v>
      </c>
      <c r="N12" s="12">
        <f>IF(M12&gt;L12,"OVER",IF(M12&gt;L12*0.9,"WARN","OK"))</f>
        <v>0</v>
      </c>
    </row>
    <row r="13" spans="2:14">
      <c r="B13" s="12">
        <v>4</v>
      </c>
      <c r="C13" s="68">
        <v>46330</v>
      </c>
      <c r="D13" s="69" t="s">
        <v>127</v>
      </c>
      <c r="E13" s="70"/>
      <c r="F13" s="70"/>
      <c r="G13" s="20"/>
      <c r="H13" s="70"/>
      <c r="I13" s="11">
        <f>I12+G13</f>
        <v>0</v>
      </c>
      <c r="K13" s="38" t="s">
        <v>43</v>
      </c>
      <c r="L13" s="11">
        <f>'Monthly Budget'!D10</f>
        <v>0</v>
      </c>
      <c r="M13" s="11">
        <f>SUMIF(E:E,K13,G:G)</f>
        <v>0</v>
      </c>
      <c r="N13" s="12">
        <f>IF(M13&gt;L13,"OVER",IF(M13&gt;L13*0.9,"WARN","OK"))</f>
        <v>0</v>
      </c>
    </row>
    <row r="14" spans="2:14">
      <c r="B14" s="12">
        <v>5</v>
      </c>
      <c r="C14" s="68">
        <v>46331</v>
      </c>
      <c r="D14" s="69" t="s">
        <v>121</v>
      </c>
      <c r="E14" s="70"/>
      <c r="F14" s="70"/>
      <c r="G14" s="20"/>
      <c r="H14" s="70"/>
      <c r="I14" s="11">
        <f>I13+G14</f>
        <v>0</v>
      </c>
      <c r="K14" s="59" t="s">
        <v>83</v>
      </c>
      <c r="L14" s="11">
        <f>'Monthly Budget'!D11</f>
        <v>0</v>
      </c>
      <c r="M14" s="11">
        <f>SUMIF(E:E,K14,G:G)</f>
        <v>0</v>
      </c>
      <c r="N14" s="12">
        <f>IF(M14&gt;L14,"OVER",IF(M14&gt;L14*0.9,"WARN","OK"))</f>
        <v>0</v>
      </c>
    </row>
    <row r="15" spans="2:14">
      <c r="B15" s="12">
        <v>6</v>
      </c>
      <c r="C15" s="68">
        <v>46332</v>
      </c>
      <c r="D15" s="69" t="s">
        <v>122</v>
      </c>
      <c r="E15" s="70"/>
      <c r="F15" s="70"/>
      <c r="G15" s="20"/>
      <c r="H15" s="70"/>
      <c r="I15" s="11">
        <f>I14+G15</f>
        <v>0</v>
      </c>
      <c r="K15" s="60" t="s">
        <v>84</v>
      </c>
      <c r="L15" s="11">
        <f>'Monthly Budget'!D12</f>
        <v>0</v>
      </c>
      <c r="M15" s="11">
        <f>SUMIF(E:E,K15,G:G)</f>
        <v>0</v>
      </c>
      <c r="N15" s="12">
        <f>IF(M15&gt;L15,"OVER",IF(M15&gt;L15*0.9,"WARN","OK"))</f>
        <v>0</v>
      </c>
    </row>
    <row r="16" spans="2:14">
      <c r="B16" s="12">
        <v>7</v>
      </c>
      <c r="C16" s="71">
        <v>46333</v>
      </c>
      <c r="D16" s="72" t="s">
        <v>123</v>
      </c>
      <c r="E16" s="70"/>
      <c r="F16" s="70"/>
      <c r="G16" s="20"/>
      <c r="H16" s="70"/>
      <c r="I16" s="11">
        <f>I15+G16</f>
        <v>0</v>
      </c>
      <c r="K16" s="61" t="s">
        <v>85</v>
      </c>
      <c r="L16" s="11">
        <f>'Monthly Budget'!D13</f>
        <v>0</v>
      </c>
      <c r="M16" s="11">
        <f>SUMIF(E:E,K16,G:G)</f>
        <v>0</v>
      </c>
      <c r="N16" s="12">
        <f>IF(M16&gt;L16,"OVER",IF(M16&gt;L16*0.9,"WARN","OK"))</f>
        <v>0</v>
      </c>
    </row>
    <row r="17" spans="2:13">
      <c r="B17" s="12">
        <v>8</v>
      </c>
      <c r="C17" s="71">
        <v>46334</v>
      </c>
      <c r="D17" s="72" t="s">
        <v>124</v>
      </c>
      <c r="E17" s="70"/>
      <c r="F17" s="70"/>
      <c r="G17" s="20"/>
      <c r="H17" s="70"/>
      <c r="I17" s="11">
        <f>I16+G17</f>
        <v>0</v>
      </c>
      <c r="K17" s="52" t="s">
        <v>65</v>
      </c>
      <c r="L17" s="22">
        <f>SUM(L6:L16)</f>
        <v>0</v>
      </c>
      <c r="M17" s="22">
        <f>SUM(M6:M16)</f>
        <v>0</v>
      </c>
    </row>
    <row r="18" spans="2:13">
      <c r="B18" s="12">
        <v>9</v>
      </c>
      <c r="C18" s="68">
        <v>46335</v>
      </c>
      <c r="D18" s="69" t="s">
        <v>125</v>
      </c>
      <c r="E18" s="70"/>
      <c r="F18" s="70"/>
      <c r="G18" s="20"/>
      <c r="H18" s="70"/>
      <c r="I18" s="11">
        <f>I17+G18</f>
        <v>0</v>
      </c>
    </row>
    <row r="19" spans="2:13">
      <c r="B19" s="12">
        <v>10</v>
      </c>
      <c r="C19" s="68">
        <v>46336</v>
      </c>
      <c r="D19" s="69" t="s">
        <v>126</v>
      </c>
      <c r="E19" s="70"/>
      <c r="F19" s="70"/>
      <c r="G19" s="20"/>
      <c r="H19" s="70"/>
      <c r="I19" s="11">
        <f>I18+G19</f>
        <v>0</v>
      </c>
    </row>
    <row r="20" spans="2:13">
      <c r="B20" s="12">
        <v>11</v>
      </c>
      <c r="C20" s="68">
        <v>46337</v>
      </c>
      <c r="D20" s="69" t="s">
        <v>127</v>
      </c>
      <c r="E20" s="70"/>
      <c r="F20" s="70"/>
      <c r="G20" s="20"/>
      <c r="H20" s="70"/>
      <c r="I20" s="11">
        <f>I19+G20</f>
        <v>0</v>
      </c>
    </row>
    <row r="21" spans="2:13">
      <c r="B21" s="12">
        <v>12</v>
      </c>
      <c r="C21" s="68">
        <v>46338</v>
      </c>
      <c r="D21" s="69" t="s">
        <v>121</v>
      </c>
      <c r="E21" s="70"/>
      <c r="F21" s="70"/>
      <c r="G21" s="20"/>
      <c r="H21" s="70"/>
      <c r="I21" s="11">
        <f>I20+G21</f>
        <v>0</v>
      </c>
    </row>
    <row r="22" spans="2:13">
      <c r="B22" s="12">
        <v>13</v>
      </c>
      <c r="C22" s="68">
        <v>46339</v>
      </c>
      <c r="D22" s="69" t="s">
        <v>122</v>
      </c>
      <c r="E22" s="70"/>
      <c r="F22" s="70"/>
      <c r="G22" s="20"/>
      <c r="H22" s="70"/>
      <c r="I22" s="11">
        <f>I21+G22</f>
        <v>0</v>
      </c>
    </row>
    <row r="23" spans="2:13">
      <c r="B23" s="12">
        <v>14</v>
      </c>
      <c r="C23" s="71">
        <v>46340</v>
      </c>
      <c r="D23" s="72" t="s">
        <v>123</v>
      </c>
      <c r="E23" s="70"/>
      <c r="F23" s="70"/>
      <c r="G23" s="20"/>
      <c r="H23" s="70"/>
      <c r="I23" s="11">
        <f>I22+G23</f>
        <v>0</v>
      </c>
    </row>
    <row r="24" spans="2:13">
      <c r="B24" s="12">
        <v>15</v>
      </c>
      <c r="C24" s="71">
        <v>46341</v>
      </c>
      <c r="D24" s="72" t="s">
        <v>124</v>
      </c>
      <c r="E24" s="70"/>
      <c r="F24" s="70"/>
      <c r="G24" s="20"/>
      <c r="H24" s="70"/>
      <c r="I24" s="11">
        <f>I23+G24</f>
        <v>0</v>
      </c>
    </row>
    <row r="25" spans="2:13">
      <c r="B25" s="12">
        <v>16</v>
      </c>
      <c r="C25" s="68">
        <v>46342</v>
      </c>
      <c r="D25" s="69" t="s">
        <v>125</v>
      </c>
      <c r="E25" s="70"/>
      <c r="F25" s="70"/>
      <c r="G25" s="20"/>
      <c r="H25" s="70"/>
      <c r="I25" s="11">
        <f>I24+G25</f>
        <v>0</v>
      </c>
    </row>
    <row r="26" spans="2:13">
      <c r="B26" s="12">
        <v>17</v>
      </c>
      <c r="C26" s="68">
        <v>46343</v>
      </c>
      <c r="D26" s="69" t="s">
        <v>126</v>
      </c>
      <c r="E26" s="70"/>
      <c r="F26" s="70"/>
      <c r="G26" s="20"/>
      <c r="H26" s="70"/>
      <c r="I26" s="11">
        <f>I25+G26</f>
        <v>0</v>
      </c>
    </row>
    <row r="27" spans="2:13">
      <c r="B27" s="12">
        <v>18</v>
      </c>
      <c r="C27" s="68">
        <v>46344</v>
      </c>
      <c r="D27" s="69" t="s">
        <v>127</v>
      </c>
      <c r="E27" s="70"/>
      <c r="F27" s="70"/>
      <c r="G27" s="20"/>
      <c r="H27" s="70"/>
      <c r="I27" s="11">
        <f>I26+G27</f>
        <v>0</v>
      </c>
    </row>
    <row r="28" spans="2:13">
      <c r="B28" s="12">
        <v>19</v>
      </c>
      <c r="C28" s="68">
        <v>46345</v>
      </c>
      <c r="D28" s="69" t="s">
        <v>121</v>
      </c>
      <c r="E28" s="70"/>
      <c r="F28" s="70"/>
      <c r="G28" s="20"/>
      <c r="H28" s="70"/>
      <c r="I28" s="11">
        <f>I27+G28</f>
        <v>0</v>
      </c>
    </row>
    <row r="29" spans="2:13">
      <c r="B29" s="12">
        <v>20</v>
      </c>
      <c r="C29" s="68">
        <v>46346</v>
      </c>
      <c r="D29" s="69" t="s">
        <v>122</v>
      </c>
      <c r="E29" s="70"/>
      <c r="F29" s="70"/>
      <c r="G29" s="20"/>
      <c r="H29" s="70"/>
      <c r="I29" s="11">
        <f>I28+G29</f>
        <v>0</v>
      </c>
    </row>
    <row r="30" spans="2:13">
      <c r="B30" s="12">
        <v>21</v>
      </c>
      <c r="C30" s="71">
        <v>46347</v>
      </c>
      <c r="D30" s="72" t="s">
        <v>123</v>
      </c>
      <c r="E30" s="70"/>
      <c r="F30" s="70"/>
      <c r="G30" s="20"/>
      <c r="H30" s="70"/>
      <c r="I30" s="11">
        <f>I29+G30</f>
        <v>0</v>
      </c>
    </row>
    <row r="31" spans="2:13">
      <c r="B31" s="12">
        <v>22</v>
      </c>
      <c r="C31" s="71">
        <v>46348</v>
      </c>
      <c r="D31" s="72" t="s">
        <v>124</v>
      </c>
      <c r="E31" s="70"/>
      <c r="F31" s="70"/>
      <c r="G31" s="20"/>
      <c r="H31" s="70"/>
      <c r="I31" s="11">
        <f>I30+G31</f>
        <v>0</v>
      </c>
    </row>
    <row r="32" spans="2:13">
      <c r="B32" s="12">
        <v>23</v>
      </c>
      <c r="C32" s="68">
        <v>46349</v>
      </c>
      <c r="D32" s="69" t="s">
        <v>125</v>
      </c>
      <c r="E32" s="70"/>
      <c r="F32" s="70"/>
      <c r="G32" s="20"/>
      <c r="H32" s="70"/>
      <c r="I32" s="11">
        <f>I31+G32</f>
        <v>0</v>
      </c>
    </row>
    <row r="33" spans="2:9">
      <c r="B33" s="12">
        <v>24</v>
      </c>
      <c r="C33" s="68">
        <v>46350</v>
      </c>
      <c r="D33" s="69" t="s">
        <v>126</v>
      </c>
      <c r="E33" s="70"/>
      <c r="F33" s="70"/>
      <c r="G33" s="20"/>
      <c r="H33" s="70"/>
      <c r="I33" s="11">
        <f>I32+G33</f>
        <v>0</v>
      </c>
    </row>
    <row r="34" spans="2:9">
      <c r="B34" s="12">
        <v>25</v>
      </c>
      <c r="C34" s="68">
        <v>46351</v>
      </c>
      <c r="D34" s="69" t="s">
        <v>127</v>
      </c>
      <c r="E34" s="70"/>
      <c r="F34" s="70"/>
      <c r="G34" s="20"/>
      <c r="H34" s="70"/>
      <c r="I34" s="11">
        <f>I33+G34</f>
        <v>0</v>
      </c>
    </row>
    <row r="35" spans="2:9">
      <c r="B35" s="12">
        <v>26</v>
      </c>
      <c r="C35" s="68">
        <v>46352</v>
      </c>
      <c r="D35" s="69" t="s">
        <v>121</v>
      </c>
      <c r="E35" s="70"/>
      <c r="F35" s="70"/>
      <c r="G35" s="20"/>
      <c r="H35" s="70"/>
      <c r="I35" s="11">
        <f>I34+G35</f>
        <v>0</v>
      </c>
    </row>
    <row r="36" spans="2:9">
      <c r="B36" s="12">
        <v>27</v>
      </c>
      <c r="C36" s="68">
        <v>46353</v>
      </c>
      <c r="D36" s="69" t="s">
        <v>122</v>
      </c>
      <c r="E36" s="70"/>
      <c r="F36" s="70"/>
      <c r="G36" s="20"/>
      <c r="H36" s="70"/>
      <c r="I36" s="11">
        <f>I35+G36</f>
        <v>0</v>
      </c>
    </row>
    <row r="37" spans="2:9">
      <c r="B37" s="12">
        <v>28</v>
      </c>
      <c r="C37" s="71">
        <v>46354</v>
      </c>
      <c r="D37" s="72" t="s">
        <v>123</v>
      </c>
      <c r="E37" s="70"/>
      <c r="F37" s="70"/>
      <c r="G37" s="20"/>
      <c r="H37" s="70"/>
      <c r="I37" s="11">
        <f>I36+G37</f>
        <v>0</v>
      </c>
    </row>
    <row r="38" spans="2:9">
      <c r="B38" s="12">
        <v>29</v>
      </c>
      <c r="C38" s="71">
        <v>46355</v>
      </c>
      <c r="D38" s="72" t="s">
        <v>124</v>
      </c>
      <c r="E38" s="70"/>
      <c r="F38" s="70"/>
      <c r="G38" s="20"/>
      <c r="H38" s="70"/>
      <c r="I38" s="11">
        <f>I37+G38</f>
        <v>0</v>
      </c>
    </row>
    <row r="39" spans="2:9">
      <c r="B39" s="12">
        <v>30</v>
      </c>
      <c r="C39" s="68">
        <v>46356</v>
      </c>
      <c r="D39" s="69" t="s">
        <v>125</v>
      </c>
      <c r="E39" s="70"/>
      <c r="F39" s="70"/>
      <c r="G39" s="20"/>
      <c r="H39" s="70"/>
      <c r="I39" s="11">
        <f>I38+G39</f>
        <v>0</v>
      </c>
    </row>
    <row r="40" spans="2:9">
      <c r="F40" s="123" t="s">
        <v>128</v>
      </c>
      <c r="G40" s="124">
        <f>SUM(G10:G39)</f>
        <v>0</v>
      </c>
    </row>
  </sheetData>
  <mergeCells count="5">
    <mergeCell ref="B1:I1"/>
    <mergeCell ref="B2:I2"/>
    <mergeCell ref="B4:D4"/>
    <mergeCell ref="F4:I4"/>
    <mergeCell ref="K4:N4"/>
  </mergeCells>
  <conditionalFormatting sqref="E10:E39">
    <cfRule type="containsText" dxfId="3" priority="1" operator="containsText" text="Rent + Utilities">
      <formula>NOT(ISERROR(SEARCH("Rent + Utilities",E10)))</formula>
    </cfRule>
    <cfRule type="containsText" dxfId="4" priority="2" operator="containsText" text="Electricity Deposit">
      <formula>NOT(ISERROR(SEARCH("Electricity Deposit",E10)))</formula>
    </cfRule>
    <cfRule type="containsText" dxfId="5" priority="3" operator="containsText" text="Internet &amp; Phone Bills">
      <formula>NOT(ISERROR(SEARCH("Internet &amp; Phone Bills",E10)))</formula>
    </cfRule>
    <cfRule type="containsText" dxfId="6" priority="4" operator="containsText" text="Food &amp; Groceries">
      <formula>NOT(ISERROR(SEARCH("Food &amp; Groceries",E10)))</formula>
    </cfRule>
    <cfRule type="containsText" dxfId="7" priority="5" operator="containsText" text="Investments">
      <formula>NOT(ISERROR(SEARCH("Investments",E10)))</formula>
    </cfRule>
    <cfRule type="containsText" dxfId="8" priority="6" operator="containsText" text="Date Nights">
      <formula>NOT(ISERROR(SEARCH("Date Nights",E10)))</formula>
    </cfRule>
    <cfRule type="containsText" dxfId="9" priority="7" operator="containsText" text="Annual Costs Savings">
      <formula>NOT(ISERROR(SEARCH("Annual Costs Savings",E10)))</formula>
    </cfRule>
    <cfRule type="containsText" dxfId="10" priority="8" operator="containsText" text="Emergency Buffer">
      <formula>NOT(ISERROR(SEARCH("Emergency Buffer",E10)))</formula>
    </cfRule>
    <cfRule type="containsText" dxfId="11" priority="9" operator="containsText" text="Personal Care">
      <formula>NOT(ISERROR(SEARCH("Personal Care",E10)))</formula>
    </cfRule>
    <cfRule type="containsText" dxfId="12" priority="10" operator="containsText" text="Personal Savings">
      <formula>NOT(ISERROR(SEARCH("Personal Savings",E10)))</formula>
    </cfRule>
    <cfRule type="containsText" dxfId="13" priority="11" operator="containsText" text="Miscellaneous">
      <formula>NOT(ISERROR(SEARCH("Miscellaneous",E10)))</formula>
    </cfRule>
  </conditionalFormatting>
  <conditionalFormatting sqref="N10">
    <cfRule type="containsText" dxfId="0" priority="24" operator="containsText" text="OVER">
      <formula>NOT(ISERROR(SEARCH("OVER",N10)))</formula>
    </cfRule>
    <cfRule type="containsText" dxfId="1" priority="25" operator="containsText" text="WARN">
      <formula>NOT(ISERROR(SEARCH("WARN",N10)))</formula>
    </cfRule>
    <cfRule type="containsText" dxfId="2" priority="26" operator="containsText" text="OK">
      <formula>NOT(ISERROR(SEARCH("OK",N10)))</formula>
    </cfRule>
  </conditionalFormatting>
  <conditionalFormatting sqref="N11">
    <cfRule type="containsText" dxfId="0" priority="27" operator="containsText" text="OVER">
      <formula>NOT(ISERROR(SEARCH("OVER",N11)))</formula>
    </cfRule>
    <cfRule type="containsText" dxfId="1" priority="28" operator="containsText" text="WARN">
      <formula>NOT(ISERROR(SEARCH("WARN",N11)))</formula>
    </cfRule>
    <cfRule type="containsText" dxfId="2" priority="29" operator="containsText" text="OK">
      <formula>NOT(ISERROR(SEARCH("OK",N11)))</formula>
    </cfRule>
  </conditionalFormatting>
  <conditionalFormatting sqref="N12">
    <cfRule type="containsText" dxfId="0" priority="30" operator="containsText" text="OVER">
      <formula>NOT(ISERROR(SEARCH("OVER",N12)))</formula>
    </cfRule>
    <cfRule type="containsText" dxfId="1" priority="31" operator="containsText" text="WARN">
      <formula>NOT(ISERROR(SEARCH("WARN",N12)))</formula>
    </cfRule>
    <cfRule type="containsText" dxfId="2" priority="32" operator="containsText" text="OK">
      <formula>NOT(ISERROR(SEARCH("OK",N12)))</formula>
    </cfRule>
  </conditionalFormatting>
  <conditionalFormatting sqref="N13">
    <cfRule type="containsText" dxfId="0" priority="33" operator="containsText" text="OVER">
      <formula>NOT(ISERROR(SEARCH("OVER",N13)))</formula>
    </cfRule>
    <cfRule type="containsText" dxfId="1" priority="34" operator="containsText" text="WARN">
      <formula>NOT(ISERROR(SEARCH("WARN",N13)))</formula>
    </cfRule>
    <cfRule type="containsText" dxfId="2" priority="35" operator="containsText" text="OK">
      <formula>NOT(ISERROR(SEARCH("OK",N13)))</formula>
    </cfRule>
  </conditionalFormatting>
  <conditionalFormatting sqref="N14">
    <cfRule type="containsText" dxfId="0" priority="36" operator="containsText" text="OVER">
      <formula>NOT(ISERROR(SEARCH("OVER",N14)))</formula>
    </cfRule>
    <cfRule type="containsText" dxfId="1" priority="37" operator="containsText" text="WARN">
      <formula>NOT(ISERROR(SEARCH("WARN",N14)))</formula>
    </cfRule>
    <cfRule type="containsText" dxfId="2" priority="38" operator="containsText" text="OK">
      <formula>NOT(ISERROR(SEARCH("OK",N14)))</formula>
    </cfRule>
  </conditionalFormatting>
  <conditionalFormatting sqref="N15">
    <cfRule type="containsText" dxfId="0" priority="39" operator="containsText" text="OVER">
      <formula>NOT(ISERROR(SEARCH("OVER",N15)))</formula>
    </cfRule>
    <cfRule type="containsText" dxfId="1" priority="40" operator="containsText" text="WARN">
      <formula>NOT(ISERROR(SEARCH("WARN",N15)))</formula>
    </cfRule>
    <cfRule type="containsText" dxfId="2" priority="41" operator="containsText" text="OK">
      <formula>NOT(ISERROR(SEARCH("OK",N15)))</formula>
    </cfRule>
  </conditionalFormatting>
  <conditionalFormatting sqref="N16">
    <cfRule type="containsText" dxfId="0" priority="42" operator="containsText" text="OVER">
      <formula>NOT(ISERROR(SEARCH("OVER",N16)))</formula>
    </cfRule>
    <cfRule type="containsText" dxfId="1" priority="43" operator="containsText" text="WARN">
      <formula>NOT(ISERROR(SEARCH("WARN",N16)))</formula>
    </cfRule>
    <cfRule type="containsText" dxfId="2" priority="44" operator="containsText" text="OK">
      <formula>NOT(ISERROR(SEARCH("OK",N16)))</formula>
    </cfRule>
  </conditionalFormatting>
  <conditionalFormatting sqref="N6">
    <cfRule type="containsText" dxfId="0" priority="12" operator="containsText" text="OVER">
      <formula>NOT(ISERROR(SEARCH("OVER",N6)))</formula>
    </cfRule>
    <cfRule type="containsText" dxfId="1" priority="13" operator="containsText" text="WARN">
      <formula>NOT(ISERROR(SEARCH("WARN",N6)))</formula>
    </cfRule>
    <cfRule type="containsText" dxfId="2" priority="14" operator="containsText" text="OK">
      <formula>NOT(ISERROR(SEARCH("OK",N6)))</formula>
    </cfRule>
  </conditionalFormatting>
  <conditionalFormatting sqref="N7">
    <cfRule type="containsText" dxfId="0" priority="15" operator="containsText" text="OVER">
      <formula>NOT(ISERROR(SEARCH("OVER",N7)))</formula>
    </cfRule>
    <cfRule type="containsText" dxfId="1" priority="16" operator="containsText" text="WARN">
      <formula>NOT(ISERROR(SEARCH("WARN",N7)))</formula>
    </cfRule>
    <cfRule type="containsText" dxfId="2" priority="17" operator="containsText" text="OK">
      <formula>NOT(ISERROR(SEARCH("OK",N7)))</formula>
    </cfRule>
  </conditionalFormatting>
  <conditionalFormatting sqref="N8">
    <cfRule type="containsText" dxfId="0" priority="18" operator="containsText" text="OVER">
      <formula>NOT(ISERROR(SEARCH("OVER",N8)))</formula>
    </cfRule>
    <cfRule type="containsText" dxfId="1" priority="19" operator="containsText" text="WARN">
      <formula>NOT(ISERROR(SEARCH("WARN",N8)))</formula>
    </cfRule>
    <cfRule type="containsText" dxfId="2" priority="20" operator="containsText" text="OK">
      <formula>NOT(ISERROR(SEARCH("OK",N8)))</formula>
    </cfRule>
  </conditionalFormatting>
  <conditionalFormatting sqref="N9">
    <cfRule type="containsText" dxfId="0" priority="21" operator="containsText" text="OVER">
      <formula>NOT(ISERROR(SEARCH("OVER",N9)))</formula>
    </cfRule>
    <cfRule type="containsText" dxfId="1" priority="22" operator="containsText" text="WARN">
      <formula>NOT(ISERROR(SEARCH("WARN",N9)))</formula>
    </cfRule>
    <cfRule type="containsText" dxfId="2" priority="23" operator="containsText" text="OK">
      <formula>NOT(ISERROR(SEARCH("OK",N9)))</formula>
    </cfRule>
  </conditionalFormatting>
  <dataValidations count="61">
    <dataValidation type="list" allowBlank="1" showInputMessage="1" showErrorMessage="1" sqref="I6">
      <formula1>"CZK,USD,EUR,NGN"</formula1>
    </dataValidation>
    <dataValidation type="list" allowBlank="1" showInputMessage="1" showErrorMessage="1" sqref="E1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0">
      <formula1>"Cash,Card,Transfer,Online"</formula1>
    </dataValidation>
    <dataValidation type="list" allowBlank="1" showInputMessage="1" showErrorMessage="1" sqref="E1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1">
      <formula1>"Cash,Card,Transfer,Online"</formula1>
    </dataValidation>
    <dataValidation type="list" allowBlank="1" showInputMessage="1" showErrorMessage="1" sqref="E1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2">
      <formula1>"Cash,Card,Transfer,Online"</formula1>
    </dataValidation>
    <dataValidation type="list" allowBlank="1" showInputMessage="1" showErrorMessage="1" sqref="E1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3">
      <formula1>"Cash,Card,Transfer,Online"</formula1>
    </dataValidation>
    <dataValidation type="list" allowBlank="1" showInputMessage="1" showErrorMessage="1" sqref="E1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4">
      <formula1>"Cash,Card,Transfer,Online"</formula1>
    </dataValidation>
    <dataValidation type="list" allowBlank="1" showInputMessage="1" showErrorMessage="1" sqref="E1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5">
      <formula1>"Cash,Card,Transfer,Online"</formula1>
    </dataValidation>
    <dataValidation type="list" allowBlank="1" showInputMessage="1" showErrorMessage="1" sqref="E1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6">
      <formula1>"Cash,Card,Transfer,Online"</formula1>
    </dataValidation>
    <dataValidation type="list" allowBlank="1" showInputMessage="1" showErrorMessage="1" sqref="E1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7">
      <formula1>"Cash,Card,Transfer,Online"</formula1>
    </dataValidation>
    <dataValidation type="list" allowBlank="1" showInputMessage="1" showErrorMessage="1" sqref="E1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8">
      <formula1>"Cash,Card,Transfer,Online"</formula1>
    </dataValidation>
    <dataValidation type="list" allowBlank="1" showInputMessage="1" showErrorMessage="1" sqref="E1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9">
      <formula1>"Cash,Card,Transfer,Online"</formula1>
    </dataValidation>
    <dataValidation type="list" allowBlank="1" showInputMessage="1" showErrorMessage="1" sqref="E2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0">
      <formula1>"Cash,Card,Transfer,Online"</formula1>
    </dataValidation>
    <dataValidation type="list" allowBlank="1" showInputMessage="1" showErrorMessage="1" sqref="E2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1">
      <formula1>"Cash,Card,Transfer,Online"</formula1>
    </dataValidation>
    <dataValidation type="list" allowBlank="1" showInputMessage="1" showErrorMessage="1" sqref="E2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2">
      <formula1>"Cash,Card,Transfer,Online"</formula1>
    </dataValidation>
    <dataValidation type="list" allowBlank="1" showInputMessage="1" showErrorMessage="1" sqref="E2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3">
      <formula1>"Cash,Card,Transfer,Online"</formula1>
    </dataValidation>
    <dataValidation type="list" allowBlank="1" showInputMessage="1" showErrorMessage="1" sqref="E2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4">
      <formula1>"Cash,Card,Transfer,Online"</formula1>
    </dataValidation>
    <dataValidation type="list" allowBlank="1" showInputMessage="1" showErrorMessage="1" sqref="E2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5">
      <formula1>"Cash,Card,Transfer,Online"</formula1>
    </dataValidation>
    <dataValidation type="list" allowBlank="1" showInputMessage="1" showErrorMessage="1" sqref="E2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6">
      <formula1>"Cash,Card,Transfer,Online"</formula1>
    </dataValidation>
    <dataValidation type="list" allowBlank="1" showInputMessage="1" showErrorMessage="1" sqref="E2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7">
      <formula1>"Cash,Card,Transfer,Online"</formula1>
    </dataValidation>
    <dataValidation type="list" allowBlank="1" showInputMessage="1" showErrorMessage="1" sqref="E2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8">
      <formula1>"Cash,Card,Transfer,Online"</formula1>
    </dataValidation>
    <dataValidation type="list" allowBlank="1" showInputMessage="1" showErrorMessage="1" sqref="E2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9">
      <formula1>"Cash,Card,Transfer,Online"</formula1>
    </dataValidation>
    <dataValidation type="list" allowBlank="1" showInputMessage="1" showErrorMessage="1" sqref="E3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0">
      <formula1>"Cash,Card,Transfer,Online"</formula1>
    </dataValidation>
    <dataValidation type="list" allowBlank="1" showInputMessage="1" showErrorMessage="1" sqref="E3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1">
      <formula1>"Cash,Card,Transfer,Online"</formula1>
    </dataValidation>
    <dataValidation type="list" allowBlank="1" showInputMessage="1" showErrorMessage="1" sqref="E3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2">
      <formula1>"Cash,Card,Transfer,Online"</formula1>
    </dataValidation>
    <dataValidation type="list" allowBlank="1" showInputMessage="1" showErrorMessage="1" sqref="E3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3">
      <formula1>"Cash,Card,Transfer,Online"</formula1>
    </dataValidation>
    <dataValidation type="list" allowBlank="1" showInputMessage="1" showErrorMessage="1" sqref="E3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4">
      <formula1>"Cash,Card,Transfer,Online"</formula1>
    </dataValidation>
    <dataValidation type="list" allowBlank="1" showInputMessage="1" showErrorMessage="1" sqref="E3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5">
      <formula1>"Cash,Card,Transfer,Online"</formula1>
    </dataValidation>
    <dataValidation type="list" allowBlank="1" showInputMessage="1" showErrorMessage="1" sqref="E3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6">
      <formula1>"Cash,Card,Transfer,Online"</formula1>
    </dataValidation>
    <dataValidation type="list" allowBlank="1" showInputMessage="1" showErrorMessage="1" sqref="E3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7">
      <formula1>"Cash,Card,Transfer,Online"</formula1>
    </dataValidation>
    <dataValidation type="list" allowBlank="1" showInputMessage="1" showErrorMessage="1" sqref="E3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8">
      <formula1>"Cash,Card,Transfer,Online"</formula1>
    </dataValidation>
    <dataValidation type="list" allowBlank="1" showInputMessage="1" showErrorMessage="1" sqref="E3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9">
      <formula1>"Cash,Card,Transfer,Online"</formula1>
    </dataValidation>
  </dataValidation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607D8B"/>
  </sheetPr>
  <dimension ref="B1:N41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/>
  <cols>
    <col min="1" max="1" width="5.7109375" customWidth="1"/>
    <col min="2" max="2" width="6.7109375" customWidth="1"/>
    <col min="3" max="3" width="14.7109375" customWidth="1"/>
    <col min="4" max="4" width="12.7109375" customWidth="1"/>
    <col min="5" max="5" width="28.7109375" customWidth="1"/>
    <col min="6" max="6" width="38.7109375" customWidth="1"/>
    <col min="7" max="7" width="20.7109375" customWidth="1"/>
    <col min="8" max="8" width="16.7109375" customWidth="1"/>
    <col min="9" max="9" width="20.7109375" customWidth="1"/>
    <col min="11" max="11" width="28.7109375" customWidth="1"/>
    <col min="12" max="13" width="18.7109375" customWidth="1"/>
    <col min="14" max="14" width="14.7109375" customWidth="1"/>
  </cols>
  <sheetData>
    <row r="1" spans="2:14" ht="45" customHeight="1">
      <c r="B1" s="125" t="s">
        <v>160</v>
      </c>
      <c r="C1" s="125"/>
      <c r="D1" s="125"/>
      <c r="E1" s="125"/>
      <c r="F1" s="125"/>
      <c r="G1" s="125"/>
      <c r="H1" s="125"/>
      <c r="I1" s="125"/>
    </row>
    <row r="2" spans="2:14">
      <c r="B2" s="126" t="s">
        <v>161</v>
      </c>
      <c r="C2" s="126"/>
      <c r="D2" s="126"/>
      <c r="E2" s="126"/>
      <c r="F2" s="126"/>
      <c r="G2" s="126"/>
      <c r="H2" s="126"/>
      <c r="I2" s="126"/>
    </row>
    <row r="4" spans="2:14">
      <c r="B4" s="127" t="s">
        <v>108</v>
      </c>
      <c r="C4" s="127"/>
      <c r="D4" s="127"/>
      <c r="F4" s="127" t="s">
        <v>112</v>
      </c>
      <c r="G4" s="127"/>
      <c r="H4" s="127"/>
      <c r="I4" s="127"/>
      <c r="K4" s="127" t="s">
        <v>162</v>
      </c>
      <c r="L4" s="127"/>
      <c r="M4" s="127"/>
      <c r="N4" s="127"/>
    </row>
    <row r="5" spans="2:14">
      <c r="B5" s="1" t="s">
        <v>109</v>
      </c>
      <c r="C5" s="20">
        <v>0</v>
      </c>
      <c r="F5" s="1" t="s">
        <v>113</v>
      </c>
      <c r="G5" s="11">
        <v>60000</v>
      </c>
      <c r="H5" s="1" t="s">
        <v>114</v>
      </c>
      <c r="I5" s="66">
        <f>Dashboard!$N$2</f>
        <v>0</v>
      </c>
      <c r="K5" s="9" t="s">
        <v>31</v>
      </c>
      <c r="L5" s="9" t="s">
        <v>32</v>
      </c>
      <c r="M5" s="9" t="s">
        <v>33</v>
      </c>
      <c r="N5" s="9" t="s">
        <v>34</v>
      </c>
    </row>
    <row r="6" spans="2:14">
      <c r="B6" s="1" t="s">
        <v>110</v>
      </c>
      <c r="C6" s="20">
        <v>0</v>
      </c>
      <c r="F6" s="1" t="s">
        <v>92</v>
      </c>
      <c r="G6" s="20">
        <v>0</v>
      </c>
      <c r="H6" s="1" t="s">
        <v>114</v>
      </c>
      <c r="I6" s="67" t="s">
        <v>5</v>
      </c>
      <c r="K6" s="24" t="s">
        <v>36</v>
      </c>
      <c r="L6" s="11">
        <f>'Monthly Budget'!D3</f>
        <v>0</v>
      </c>
      <c r="M6" s="11">
        <f>SUMIF(E:E,K6,G:G)</f>
        <v>0</v>
      </c>
      <c r="N6" s="12">
        <f>IF(M6&gt;L6,"OVER",IF(M6&gt;L6*0.9,"WARN","OK"))</f>
        <v>0</v>
      </c>
    </row>
    <row r="7" spans="2:14">
      <c r="B7" s="1" t="s">
        <v>111</v>
      </c>
      <c r="C7" s="22">
        <f>C6-C5</f>
        <v>0</v>
      </c>
      <c r="F7" s="1" t="s">
        <v>93</v>
      </c>
      <c r="G7" s="22">
        <f>G5+G6</f>
        <v>0</v>
      </c>
      <c r="K7" s="25" t="s">
        <v>37</v>
      </c>
      <c r="L7" s="11">
        <f>'Monthly Budget'!D4</f>
        <v>0</v>
      </c>
      <c r="M7" s="11">
        <f>SUMIF(E:E,K7,G:G)</f>
        <v>0</v>
      </c>
      <c r="N7" s="12">
        <f>IF(M7&gt;L7,"OVER",IF(M7&gt;L7*0.9,"WARN","OK"))</f>
        <v>0</v>
      </c>
    </row>
    <row r="8" spans="2:14">
      <c r="K8" s="27" t="s">
        <v>38</v>
      </c>
      <c r="L8" s="11">
        <f>'Monthly Budget'!D5</f>
        <v>0</v>
      </c>
      <c r="M8" s="11">
        <f>SUMIF(E:E,K8,G:G)</f>
        <v>0</v>
      </c>
      <c r="N8" s="12">
        <f>IF(M8&gt;L8,"OVER",IF(M8&gt;L8*0.9,"WARN","OK"))</f>
        <v>0</v>
      </c>
    </row>
    <row r="9" spans="2:14">
      <c r="B9" s="127" t="s">
        <v>95</v>
      </c>
      <c r="C9" s="127" t="s">
        <v>115</v>
      </c>
      <c r="D9" s="127" t="s">
        <v>116</v>
      </c>
      <c r="E9" s="127" t="s">
        <v>31</v>
      </c>
      <c r="F9" s="127" t="s">
        <v>117</v>
      </c>
      <c r="G9" s="127" t="s">
        <v>118</v>
      </c>
      <c r="H9" s="127" t="s">
        <v>119</v>
      </c>
      <c r="I9" s="127" t="s">
        <v>120</v>
      </c>
      <c r="K9" s="29" t="s">
        <v>39</v>
      </c>
      <c r="L9" s="11">
        <f>'Monthly Budget'!D6</f>
        <v>0</v>
      </c>
      <c r="M9" s="11">
        <f>SUMIF(E:E,K9,G:G)</f>
        <v>0</v>
      </c>
      <c r="N9" s="12">
        <f>IF(M9&gt;L9,"OVER",IF(M9&gt;L9*0.9,"WARN","OK"))</f>
        <v>0</v>
      </c>
    </row>
    <row r="10" spans="2:14">
      <c r="B10" s="12">
        <v>1</v>
      </c>
      <c r="C10" s="68">
        <v>46357</v>
      </c>
      <c r="D10" s="69" t="s">
        <v>126</v>
      </c>
      <c r="E10" s="70"/>
      <c r="F10" s="70"/>
      <c r="G10" s="20"/>
      <c r="H10" s="70"/>
      <c r="I10" s="11">
        <f>G10</f>
        <v>0</v>
      </c>
      <c r="K10" s="30" t="s">
        <v>40</v>
      </c>
      <c r="L10" s="11">
        <f>'Monthly Budget'!D7</f>
        <v>0</v>
      </c>
      <c r="M10" s="11">
        <f>SUMIF(E:E,K10,G:G)</f>
        <v>0</v>
      </c>
      <c r="N10" s="12">
        <f>IF(M10&gt;L10,"OVER",IF(M10&gt;L10*0.9,"WARN","OK"))</f>
        <v>0</v>
      </c>
    </row>
    <row r="11" spans="2:14">
      <c r="B11" s="12">
        <v>2</v>
      </c>
      <c r="C11" s="68">
        <v>46358</v>
      </c>
      <c r="D11" s="69" t="s">
        <v>127</v>
      </c>
      <c r="E11" s="70"/>
      <c r="F11" s="70"/>
      <c r="G11" s="20"/>
      <c r="H11" s="70"/>
      <c r="I11" s="11">
        <f>I10+G11</f>
        <v>0</v>
      </c>
      <c r="K11" s="31" t="s">
        <v>41</v>
      </c>
      <c r="L11" s="11">
        <f>'Monthly Budget'!D8</f>
        <v>0</v>
      </c>
      <c r="M11" s="11">
        <f>SUMIF(E:E,K11,G:G)</f>
        <v>0</v>
      </c>
      <c r="N11" s="12">
        <f>IF(M11&gt;L11,"OVER",IF(M11&gt;L11*0.9,"WARN","OK"))</f>
        <v>0</v>
      </c>
    </row>
    <row r="12" spans="2:14">
      <c r="B12" s="12">
        <v>3</v>
      </c>
      <c r="C12" s="68">
        <v>46359</v>
      </c>
      <c r="D12" s="69" t="s">
        <v>121</v>
      </c>
      <c r="E12" s="70"/>
      <c r="F12" s="70"/>
      <c r="G12" s="20"/>
      <c r="H12" s="70"/>
      <c r="I12" s="11">
        <f>I11+G12</f>
        <v>0</v>
      </c>
      <c r="K12" s="33" t="s">
        <v>42</v>
      </c>
      <c r="L12" s="11">
        <f>'Monthly Budget'!D9</f>
        <v>0</v>
      </c>
      <c r="M12" s="11">
        <f>SUMIF(E:E,K12,G:G)</f>
        <v>0</v>
      </c>
      <c r="N12" s="12">
        <f>IF(M12&gt;L12,"OVER",IF(M12&gt;L12*0.9,"WARN","OK"))</f>
        <v>0</v>
      </c>
    </row>
    <row r="13" spans="2:14">
      <c r="B13" s="12">
        <v>4</v>
      </c>
      <c r="C13" s="68">
        <v>46360</v>
      </c>
      <c r="D13" s="69" t="s">
        <v>122</v>
      </c>
      <c r="E13" s="70"/>
      <c r="F13" s="70"/>
      <c r="G13" s="20"/>
      <c r="H13" s="70"/>
      <c r="I13" s="11">
        <f>I12+G13</f>
        <v>0</v>
      </c>
      <c r="K13" s="38" t="s">
        <v>43</v>
      </c>
      <c r="L13" s="11">
        <f>'Monthly Budget'!D10</f>
        <v>0</v>
      </c>
      <c r="M13" s="11">
        <f>SUMIF(E:E,K13,G:G)</f>
        <v>0</v>
      </c>
      <c r="N13" s="12">
        <f>IF(M13&gt;L13,"OVER",IF(M13&gt;L13*0.9,"WARN","OK"))</f>
        <v>0</v>
      </c>
    </row>
    <row r="14" spans="2:14">
      <c r="B14" s="12">
        <v>5</v>
      </c>
      <c r="C14" s="71">
        <v>46361</v>
      </c>
      <c r="D14" s="72" t="s">
        <v>123</v>
      </c>
      <c r="E14" s="70"/>
      <c r="F14" s="70"/>
      <c r="G14" s="20"/>
      <c r="H14" s="70"/>
      <c r="I14" s="11">
        <f>I13+G14</f>
        <v>0</v>
      </c>
      <c r="K14" s="59" t="s">
        <v>83</v>
      </c>
      <c r="L14" s="11">
        <f>'Monthly Budget'!D11</f>
        <v>0</v>
      </c>
      <c r="M14" s="11">
        <f>SUMIF(E:E,K14,G:G)</f>
        <v>0</v>
      </c>
      <c r="N14" s="12">
        <f>IF(M14&gt;L14,"OVER",IF(M14&gt;L14*0.9,"WARN","OK"))</f>
        <v>0</v>
      </c>
    </row>
    <row r="15" spans="2:14">
      <c r="B15" s="12">
        <v>6</v>
      </c>
      <c r="C15" s="71">
        <v>46362</v>
      </c>
      <c r="D15" s="72" t="s">
        <v>124</v>
      </c>
      <c r="E15" s="70"/>
      <c r="F15" s="70"/>
      <c r="G15" s="20"/>
      <c r="H15" s="70"/>
      <c r="I15" s="11">
        <f>I14+G15</f>
        <v>0</v>
      </c>
      <c r="K15" s="60" t="s">
        <v>84</v>
      </c>
      <c r="L15" s="11">
        <f>'Monthly Budget'!D12</f>
        <v>0</v>
      </c>
      <c r="M15" s="11">
        <f>SUMIF(E:E,K15,G:G)</f>
        <v>0</v>
      </c>
      <c r="N15" s="12">
        <f>IF(M15&gt;L15,"OVER",IF(M15&gt;L15*0.9,"WARN","OK"))</f>
        <v>0</v>
      </c>
    </row>
    <row r="16" spans="2:14">
      <c r="B16" s="12">
        <v>7</v>
      </c>
      <c r="C16" s="68">
        <v>46363</v>
      </c>
      <c r="D16" s="69" t="s">
        <v>125</v>
      </c>
      <c r="E16" s="70"/>
      <c r="F16" s="70"/>
      <c r="G16" s="20"/>
      <c r="H16" s="70"/>
      <c r="I16" s="11">
        <f>I15+G16</f>
        <v>0</v>
      </c>
      <c r="K16" s="61" t="s">
        <v>85</v>
      </c>
      <c r="L16" s="11">
        <f>'Monthly Budget'!D13</f>
        <v>0</v>
      </c>
      <c r="M16" s="11">
        <f>SUMIF(E:E,K16,G:G)</f>
        <v>0</v>
      </c>
      <c r="N16" s="12">
        <f>IF(M16&gt;L16,"OVER",IF(M16&gt;L16*0.9,"WARN","OK"))</f>
        <v>0</v>
      </c>
    </row>
    <row r="17" spans="2:13">
      <c r="B17" s="12">
        <v>8</v>
      </c>
      <c r="C17" s="68">
        <v>46364</v>
      </c>
      <c r="D17" s="69" t="s">
        <v>126</v>
      </c>
      <c r="E17" s="70"/>
      <c r="F17" s="70"/>
      <c r="G17" s="20"/>
      <c r="H17" s="70"/>
      <c r="I17" s="11">
        <f>I16+G17</f>
        <v>0</v>
      </c>
      <c r="K17" s="52" t="s">
        <v>65</v>
      </c>
      <c r="L17" s="22">
        <f>SUM(L6:L16)</f>
        <v>0</v>
      </c>
      <c r="M17" s="22">
        <f>SUM(M6:M16)</f>
        <v>0</v>
      </c>
    </row>
    <row r="18" spans="2:13">
      <c r="B18" s="12">
        <v>9</v>
      </c>
      <c r="C18" s="68">
        <v>46365</v>
      </c>
      <c r="D18" s="69" t="s">
        <v>127</v>
      </c>
      <c r="E18" s="70"/>
      <c r="F18" s="70"/>
      <c r="G18" s="20"/>
      <c r="H18" s="70"/>
      <c r="I18" s="11">
        <f>I17+G18</f>
        <v>0</v>
      </c>
    </row>
    <row r="19" spans="2:13">
      <c r="B19" s="12">
        <v>10</v>
      </c>
      <c r="C19" s="68">
        <v>46366</v>
      </c>
      <c r="D19" s="69" t="s">
        <v>121</v>
      </c>
      <c r="E19" s="70"/>
      <c r="F19" s="70"/>
      <c r="G19" s="20"/>
      <c r="H19" s="70"/>
      <c r="I19" s="11">
        <f>I18+G19</f>
        <v>0</v>
      </c>
    </row>
    <row r="20" spans="2:13">
      <c r="B20" s="12">
        <v>11</v>
      </c>
      <c r="C20" s="68">
        <v>46367</v>
      </c>
      <c r="D20" s="69" t="s">
        <v>122</v>
      </c>
      <c r="E20" s="70"/>
      <c r="F20" s="70"/>
      <c r="G20" s="20"/>
      <c r="H20" s="70"/>
      <c r="I20" s="11">
        <f>I19+G20</f>
        <v>0</v>
      </c>
    </row>
    <row r="21" spans="2:13">
      <c r="B21" s="12">
        <v>12</v>
      </c>
      <c r="C21" s="71">
        <v>46368</v>
      </c>
      <c r="D21" s="72" t="s">
        <v>123</v>
      </c>
      <c r="E21" s="70"/>
      <c r="F21" s="70"/>
      <c r="G21" s="20"/>
      <c r="H21" s="70"/>
      <c r="I21" s="11">
        <f>I20+G21</f>
        <v>0</v>
      </c>
    </row>
    <row r="22" spans="2:13">
      <c r="B22" s="12">
        <v>13</v>
      </c>
      <c r="C22" s="71">
        <v>46369</v>
      </c>
      <c r="D22" s="72" t="s">
        <v>124</v>
      </c>
      <c r="E22" s="70"/>
      <c r="F22" s="70"/>
      <c r="G22" s="20"/>
      <c r="H22" s="70"/>
      <c r="I22" s="11">
        <f>I21+G22</f>
        <v>0</v>
      </c>
    </row>
    <row r="23" spans="2:13">
      <c r="B23" s="12">
        <v>14</v>
      </c>
      <c r="C23" s="68">
        <v>46370</v>
      </c>
      <c r="D23" s="69" t="s">
        <v>125</v>
      </c>
      <c r="E23" s="70"/>
      <c r="F23" s="70"/>
      <c r="G23" s="20"/>
      <c r="H23" s="70"/>
      <c r="I23" s="11">
        <f>I22+G23</f>
        <v>0</v>
      </c>
    </row>
    <row r="24" spans="2:13">
      <c r="B24" s="12">
        <v>15</v>
      </c>
      <c r="C24" s="68">
        <v>46371</v>
      </c>
      <c r="D24" s="69" t="s">
        <v>126</v>
      </c>
      <c r="E24" s="70"/>
      <c r="F24" s="70"/>
      <c r="G24" s="20"/>
      <c r="H24" s="70"/>
      <c r="I24" s="11">
        <f>I23+G24</f>
        <v>0</v>
      </c>
    </row>
    <row r="25" spans="2:13">
      <c r="B25" s="12">
        <v>16</v>
      </c>
      <c r="C25" s="68">
        <v>46372</v>
      </c>
      <c r="D25" s="69" t="s">
        <v>127</v>
      </c>
      <c r="E25" s="70"/>
      <c r="F25" s="70"/>
      <c r="G25" s="20"/>
      <c r="H25" s="70"/>
      <c r="I25" s="11">
        <f>I24+G25</f>
        <v>0</v>
      </c>
    </row>
    <row r="26" spans="2:13">
      <c r="B26" s="12">
        <v>17</v>
      </c>
      <c r="C26" s="68">
        <v>46373</v>
      </c>
      <c r="D26" s="69" t="s">
        <v>121</v>
      </c>
      <c r="E26" s="70"/>
      <c r="F26" s="70"/>
      <c r="G26" s="20"/>
      <c r="H26" s="70"/>
      <c r="I26" s="11">
        <f>I25+G26</f>
        <v>0</v>
      </c>
    </row>
    <row r="27" spans="2:13">
      <c r="B27" s="12">
        <v>18</v>
      </c>
      <c r="C27" s="68">
        <v>46374</v>
      </c>
      <c r="D27" s="69" t="s">
        <v>122</v>
      </c>
      <c r="E27" s="70"/>
      <c r="F27" s="70"/>
      <c r="G27" s="20"/>
      <c r="H27" s="70"/>
      <c r="I27" s="11">
        <f>I26+G27</f>
        <v>0</v>
      </c>
    </row>
    <row r="28" spans="2:13">
      <c r="B28" s="12">
        <v>19</v>
      </c>
      <c r="C28" s="71">
        <v>46375</v>
      </c>
      <c r="D28" s="72" t="s">
        <v>123</v>
      </c>
      <c r="E28" s="70"/>
      <c r="F28" s="70"/>
      <c r="G28" s="20"/>
      <c r="H28" s="70"/>
      <c r="I28" s="11">
        <f>I27+G28</f>
        <v>0</v>
      </c>
    </row>
    <row r="29" spans="2:13">
      <c r="B29" s="12">
        <v>20</v>
      </c>
      <c r="C29" s="71">
        <v>46376</v>
      </c>
      <c r="D29" s="72" t="s">
        <v>124</v>
      </c>
      <c r="E29" s="70"/>
      <c r="F29" s="70"/>
      <c r="G29" s="20"/>
      <c r="H29" s="70"/>
      <c r="I29" s="11">
        <f>I28+G29</f>
        <v>0</v>
      </c>
    </row>
    <row r="30" spans="2:13">
      <c r="B30" s="12">
        <v>21</v>
      </c>
      <c r="C30" s="68">
        <v>46377</v>
      </c>
      <c r="D30" s="69" t="s">
        <v>125</v>
      </c>
      <c r="E30" s="70"/>
      <c r="F30" s="70"/>
      <c r="G30" s="20"/>
      <c r="H30" s="70"/>
      <c r="I30" s="11">
        <f>I29+G30</f>
        <v>0</v>
      </c>
    </row>
    <row r="31" spans="2:13">
      <c r="B31" s="12">
        <v>22</v>
      </c>
      <c r="C31" s="68">
        <v>46378</v>
      </c>
      <c r="D31" s="69" t="s">
        <v>126</v>
      </c>
      <c r="E31" s="70"/>
      <c r="F31" s="70"/>
      <c r="G31" s="20"/>
      <c r="H31" s="70"/>
      <c r="I31" s="11">
        <f>I30+G31</f>
        <v>0</v>
      </c>
    </row>
    <row r="32" spans="2:13">
      <c r="B32" s="12">
        <v>23</v>
      </c>
      <c r="C32" s="68">
        <v>46379</v>
      </c>
      <c r="D32" s="69" t="s">
        <v>127</v>
      </c>
      <c r="E32" s="70"/>
      <c r="F32" s="70"/>
      <c r="G32" s="20"/>
      <c r="H32" s="70"/>
      <c r="I32" s="11">
        <f>I31+G32</f>
        <v>0</v>
      </c>
    </row>
    <row r="33" spans="2:9">
      <c r="B33" s="12">
        <v>24</v>
      </c>
      <c r="C33" s="68">
        <v>46380</v>
      </c>
      <c r="D33" s="69" t="s">
        <v>121</v>
      </c>
      <c r="E33" s="70"/>
      <c r="F33" s="70"/>
      <c r="G33" s="20"/>
      <c r="H33" s="70"/>
      <c r="I33" s="11">
        <f>I32+G33</f>
        <v>0</v>
      </c>
    </row>
    <row r="34" spans="2:9">
      <c r="B34" s="12">
        <v>25</v>
      </c>
      <c r="C34" s="68">
        <v>46381</v>
      </c>
      <c r="D34" s="69" t="s">
        <v>122</v>
      </c>
      <c r="E34" s="70"/>
      <c r="F34" s="70"/>
      <c r="G34" s="20"/>
      <c r="H34" s="70"/>
      <c r="I34" s="11">
        <f>I33+G34</f>
        <v>0</v>
      </c>
    </row>
    <row r="35" spans="2:9">
      <c r="B35" s="12">
        <v>26</v>
      </c>
      <c r="C35" s="71">
        <v>46382</v>
      </c>
      <c r="D35" s="72" t="s">
        <v>123</v>
      </c>
      <c r="E35" s="70"/>
      <c r="F35" s="70"/>
      <c r="G35" s="20"/>
      <c r="H35" s="70"/>
      <c r="I35" s="11">
        <f>I34+G35</f>
        <v>0</v>
      </c>
    </row>
    <row r="36" spans="2:9">
      <c r="B36" s="12">
        <v>27</v>
      </c>
      <c r="C36" s="71">
        <v>46383</v>
      </c>
      <c r="D36" s="72" t="s">
        <v>124</v>
      </c>
      <c r="E36" s="70"/>
      <c r="F36" s="70"/>
      <c r="G36" s="20"/>
      <c r="H36" s="70"/>
      <c r="I36" s="11">
        <f>I35+G36</f>
        <v>0</v>
      </c>
    </row>
    <row r="37" spans="2:9">
      <c r="B37" s="12">
        <v>28</v>
      </c>
      <c r="C37" s="68">
        <v>46384</v>
      </c>
      <c r="D37" s="69" t="s">
        <v>125</v>
      </c>
      <c r="E37" s="70"/>
      <c r="F37" s="70"/>
      <c r="G37" s="20"/>
      <c r="H37" s="70"/>
      <c r="I37" s="11">
        <f>I36+G37</f>
        <v>0</v>
      </c>
    </row>
    <row r="38" spans="2:9">
      <c r="B38" s="12">
        <v>29</v>
      </c>
      <c r="C38" s="68">
        <v>46385</v>
      </c>
      <c r="D38" s="69" t="s">
        <v>126</v>
      </c>
      <c r="E38" s="70"/>
      <c r="F38" s="70"/>
      <c r="G38" s="20"/>
      <c r="H38" s="70"/>
      <c r="I38" s="11">
        <f>I37+G38</f>
        <v>0</v>
      </c>
    </row>
    <row r="39" spans="2:9">
      <c r="B39" s="12">
        <v>30</v>
      </c>
      <c r="C39" s="68">
        <v>46386</v>
      </c>
      <c r="D39" s="69" t="s">
        <v>127</v>
      </c>
      <c r="E39" s="70"/>
      <c r="F39" s="70"/>
      <c r="G39" s="20"/>
      <c r="H39" s="70"/>
      <c r="I39" s="11">
        <f>I38+G39</f>
        <v>0</v>
      </c>
    </row>
    <row r="40" spans="2:9">
      <c r="B40" s="12">
        <v>31</v>
      </c>
      <c r="C40" s="68">
        <v>46387</v>
      </c>
      <c r="D40" s="69" t="s">
        <v>121</v>
      </c>
      <c r="E40" s="70"/>
      <c r="F40" s="70"/>
      <c r="G40" s="20"/>
      <c r="H40" s="70"/>
      <c r="I40" s="11">
        <f>I39+G40</f>
        <v>0</v>
      </c>
    </row>
    <row r="41" spans="2:9">
      <c r="F41" s="128" t="s">
        <v>128</v>
      </c>
      <c r="G41" s="129">
        <f>SUM(G10:G40)</f>
        <v>0</v>
      </c>
    </row>
  </sheetData>
  <mergeCells count="5">
    <mergeCell ref="B1:I1"/>
    <mergeCell ref="B2:I2"/>
    <mergeCell ref="B4:D4"/>
    <mergeCell ref="F4:I4"/>
    <mergeCell ref="K4:N4"/>
  </mergeCells>
  <conditionalFormatting sqref="E10:E40">
    <cfRule type="containsText" dxfId="3" priority="1" operator="containsText" text="Rent + Utilities">
      <formula>NOT(ISERROR(SEARCH("Rent + Utilities",E10)))</formula>
    </cfRule>
    <cfRule type="containsText" dxfId="4" priority="2" operator="containsText" text="Electricity Deposit">
      <formula>NOT(ISERROR(SEARCH("Electricity Deposit",E10)))</formula>
    </cfRule>
    <cfRule type="containsText" dxfId="5" priority="3" operator="containsText" text="Internet &amp; Phone Bills">
      <formula>NOT(ISERROR(SEARCH("Internet &amp; Phone Bills",E10)))</formula>
    </cfRule>
    <cfRule type="containsText" dxfId="6" priority="4" operator="containsText" text="Food &amp; Groceries">
      <formula>NOT(ISERROR(SEARCH("Food &amp; Groceries",E10)))</formula>
    </cfRule>
    <cfRule type="containsText" dxfId="7" priority="5" operator="containsText" text="Investments">
      <formula>NOT(ISERROR(SEARCH("Investments",E10)))</formula>
    </cfRule>
    <cfRule type="containsText" dxfId="8" priority="6" operator="containsText" text="Date Nights">
      <formula>NOT(ISERROR(SEARCH("Date Nights",E10)))</formula>
    </cfRule>
    <cfRule type="containsText" dxfId="9" priority="7" operator="containsText" text="Annual Costs Savings">
      <formula>NOT(ISERROR(SEARCH("Annual Costs Savings",E10)))</formula>
    </cfRule>
    <cfRule type="containsText" dxfId="10" priority="8" operator="containsText" text="Emergency Buffer">
      <formula>NOT(ISERROR(SEARCH("Emergency Buffer",E10)))</formula>
    </cfRule>
    <cfRule type="containsText" dxfId="11" priority="9" operator="containsText" text="Personal Care">
      <formula>NOT(ISERROR(SEARCH("Personal Care",E10)))</formula>
    </cfRule>
    <cfRule type="containsText" dxfId="12" priority="10" operator="containsText" text="Personal Savings">
      <formula>NOT(ISERROR(SEARCH("Personal Savings",E10)))</formula>
    </cfRule>
    <cfRule type="containsText" dxfId="13" priority="11" operator="containsText" text="Miscellaneous">
      <formula>NOT(ISERROR(SEARCH("Miscellaneous",E10)))</formula>
    </cfRule>
  </conditionalFormatting>
  <conditionalFormatting sqref="N10">
    <cfRule type="containsText" dxfId="0" priority="24" operator="containsText" text="OVER">
      <formula>NOT(ISERROR(SEARCH("OVER",N10)))</formula>
    </cfRule>
    <cfRule type="containsText" dxfId="1" priority="25" operator="containsText" text="WARN">
      <formula>NOT(ISERROR(SEARCH("WARN",N10)))</formula>
    </cfRule>
    <cfRule type="containsText" dxfId="2" priority="26" operator="containsText" text="OK">
      <formula>NOT(ISERROR(SEARCH("OK",N10)))</formula>
    </cfRule>
  </conditionalFormatting>
  <conditionalFormatting sqref="N11">
    <cfRule type="containsText" dxfId="0" priority="27" operator="containsText" text="OVER">
      <formula>NOT(ISERROR(SEARCH("OVER",N11)))</formula>
    </cfRule>
    <cfRule type="containsText" dxfId="1" priority="28" operator="containsText" text="WARN">
      <formula>NOT(ISERROR(SEARCH("WARN",N11)))</formula>
    </cfRule>
    <cfRule type="containsText" dxfId="2" priority="29" operator="containsText" text="OK">
      <formula>NOT(ISERROR(SEARCH("OK",N11)))</formula>
    </cfRule>
  </conditionalFormatting>
  <conditionalFormatting sqref="N12">
    <cfRule type="containsText" dxfId="0" priority="30" operator="containsText" text="OVER">
      <formula>NOT(ISERROR(SEARCH("OVER",N12)))</formula>
    </cfRule>
    <cfRule type="containsText" dxfId="1" priority="31" operator="containsText" text="WARN">
      <formula>NOT(ISERROR(SEARCH("WARN",N12)))</formula>
    </cfRule>
    <cfRule type="containsText" dxfId="2" priority="32" operator="containsText" text="OK">
      <formula>NOT(ISERROR(SEARCH("OK",N12)))</formula>
    </cfRule>
  </conditionalFormatting>
  <conditionalFormatting sqref="N13">
    <cfRule type="containsText" dxfId="0" priority="33" operator="containsText" text="OVER">
      <formula>NOT(ISERROR(SEARCH("OVER",N13)))</formula>
    </cfRule>
    <cfRule type="containsText" dxfId="1" priority="34" operator="containsText" text="WARN">
      <formula>NOT(ISERROR(SEARCH("WARN",N13)))</formula>
    </cfRule>
    <cfRule type="containsText" dxfId="2" priority="35" operator="containsText" text="OK">
      <formula>NOT(ISERROR(SEARCH("OK",N13)))</formula>
    </cfRule>
  </conditionalFormatting>
  <conditionalFormatting sqref="N14">
    <cfRule type="containsText" dxfId="0" priority="36" operator="containsText" text="OVER">
      <formula>NOT(ISERROR(SEARCH("OVER",N14)))</formula>
    </cfRule>
    <cfRule type="containsText" dxfId="1" priority="37" operator="containsText" text="WARN">
      <formula>NOT(ISERROR(SEARCH("WARN",N14)))</formula>
    </cfRule>
    <cfRule type="containsText" dxfId="2" priority="38" operator="containsText" text="OK">
      <formula>NOT(ISERROR(SEARCH("OK",N14)))</formula>
    </cfRule>
  </conditionalFormatting>
  <conditionalFormatting sqref="N15">
    <cfRule type="containsText" dxfId="0" priority="39" operator="containsText" text="OVER">
      <formula>NOT(ISERROR(SEARCH("OVER",N15)))</formula>
    </cfRule>
    <cfRule type="containsText" dxfId="1" priority="40" operator="containsText" text="WARN">
      <formula>NOT(ISERROR(SEARCH("WARN",N15)))</formula>
    </cfRule>
    <cfRule type="containsText" dxfId="2" priority="41" operator="containsText" text="OK">
      <formula>NOT(ISERROR(SEARCH("OK",N15)))</formula>
    </cfRule>
  </conditionalFormatting>
  <conditionalFormatting sqref="N16">
    <cfRule type="containsText" dxfId="0" priority="42" operator="containsText" text="OVER">
      <formula>NOT(ISERROR(SEARCH("OVER",N16)))</formula>
    </cfRule>
    <cfRule type="containsText" dxfId="1" priority="43" operator="containsText" text="WARN">
      <formula>NOT(ISERROR(SEARCH("WARN",N16)))</formula>
    </cfRule>
    <cfRule type="containsText" dxfId="2" priority="44" operator="containsText" text="OK">
      <formula>NOT(ISERROR(SEARCH("OK",N16)))</formula>
    </cfRule>
  </conditionalFormatting>
  <conditionalFormatting sqref="N6">
    <cfRule type="containsText" dxfId="0" priority="12" operator="containsText" text="OVER">
      <formula>NOT(ISERROR(SEARCH("OVER",N6)))</formula>
    </cfRule>
    <cfRule type="containsText" dxfId="1" priority="13" operator="containsText" text="WARN">
      <formula>NOT(ISERROR(SEARCH("WARN",N6)))</formula>
    </cfRule>
    <cfRule type="containsText" dxfId="2" priority="14" operator="containsText" text="OK">
      <formula>NOT(ISERROR(SEARCH("OK",N6)))</formula>
    </cfRule>
  </conditionalFormatting>
  <conditionalFormatting sqref="N7">
    <cfRule type="containsText" dxfId="0" priority="15" operator="containsText" text="OVER">
      <formula>NOT(ISERROR(SEARCH("OVER",N7)))</formula>
    </cfRule>
    <cfRule type="containsText" dxfId="1" priority="16" operator="containsText" text="WARN">
      <formula>NOT(ISERROR(SEARCH("WARN",N7)))</formula>
    </cfRule>
    <cfRule type="containsText" dxfId="2" priority="17" operator="containsText" text="OK">
      <formula>NOT(ISERROR(SEARCH("OK",N7)))</formula>
    </cfRule>
  </conditionalFormatting>
  <conditionalFormatting sqref="N8">
    <cfRule type="containsText" dxfId="0" priority="18" operator="containsText" text="OVER">
      <formula>NOT(ISERROR(SEARCH("OVER",N8)))</formula>
    </cfRule>
    <cfRule type="containsText" dxfId="1" priority="19" operator="containsText" text="WARN">
      <formula>NOT(ISERROR(SEARCH("WARN",N8)))</formula>
    </cfRule>
    <cfRule type="containsText" dxfId="2" priority="20" operator="containsText" text="OK">
      <formula>NOT(ISERROR(SEARCH("OK",N8)))</formula>
    </cfRule>
  </conditionalFormatting>
  <conditionalFormatting sqref="N9">
    <cfRule type="containsText" dxfId="0" priority="21" operator="containsText" text="OVER">
      <formula>NOT(ISERROR(SEARCH("OVER",N9)))</formula>
    </cfRule>
    <cfRule type="containsText" dxfId="1" priority="22" operator="containsText" text="WARN">
      <formula>NOT(ISERROR(SEARCH("WARN",N9)))</formula>
    </cfRule>
    <cfRule type="containsText" dxfId="2" priority="23" operator="containsText" text="OK">
      <formula>NOT(ISERROR(SEARCH("OK",N9)))</formula>
    </cfRule>
  </conditionalFormatting>
  <dataValidations count="63">
    <dataValidation type="list" allowBlank="1" showInputMessage="1" showErrorMessage="1" sqref="I6">
      <formula1>"CZK,USD,EUR,NGN"</formula1>
    </dataValidation>
    <dataValidation type="list" allowBlank="1" showInputMessage="1" showErrorMessage="1" sqref="E1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0">
      <formula1>"Cash,Card,Transfer,Online"</formula1>
    </dataValidation>
    <dataValidation type="list" allowBlank="1" showInputMessage="1" showErrorMessage="1" sqref="E1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1">
      <formula1>"Cash,Card,Transfer,Online"</formula1>
    </dataValidation>
    <dataValidation type="list" allowBlank="1" showInputMessage="1" showErrorMessage="1" sqref="E1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2">
      <formula1>"Cash,Card,Transfer,Online"</formula1>
    </dataValidation>
    <dataValidation type="list" allowBlank="1" showInputMessage="1" showErrorMessage="1" sqref="E1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3">
      <formula1>"Cash,Card,Transfer,Online"</formula1>
    </dataValidation>
    <dataValidation type="list" allowBlank="1" showInputMessage="1" showErrorMessage="1" sqref="E1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4">
      <formula1>"Cash,Card,Transfer,Online"</formula1>
    </dataValidation>
    <dataValidation type="list" allowBlank="1" showInputMessage="1" showErrorMessage="1" sqref="E1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5">
      <formula1>"Cash,Card,Transfer,Online"</formula1>
    </dataValidation>
    <dataValidation type="list" allowBlank="1" showInputMessage="1" showErrorMessage="1" sqref="E1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6">
      <formula1>"Cash,Card,Transfer,Online"</formula1>
    </dataValidation>
    <dataValidation type="list" allowBlank="1" showInputMessage="1" showErrorMessage="1" sqref="E1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7">
      <formula1>"Cash,Card,Transfer,Online"</formula1>
    </dataValidation>
    <dataValidation type="list" allowBlank="1" showInputMessage="1" showErrorMessage="1" sqref="E1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8">
      <formula1>"Cash,Card,Transfer,Online"</formula1>
    </dataValidation>
    <dataValidation type="list" allowBlank="1" showInputMessage="1" showErrorMessage="1" sqref="E1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19">
      <formula1>"Cash,Card,Transfer,Online"</formula1>
    </dataValidation>
    <dataValidation type="list" allowBlank="1" showInputMessage="1" showErrorMessage="1" sqref="E2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0">
      <formula1>"Cash,Card,Transfer,Online"</formula1>
    </dataValidation>
    <dataValidation type="list" allowBlank="1" showInputMessage="1" showErrorMessage="1" sqref="E2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1">
      <formula1>"Cash,Card,Transfer,Online"</formula1>
    </dataValidation>
    <dataValidation type="list" allowBlank="1" showInputMessage="1" showErrorMessage="1" sqref="E2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2">
      <formula1>"Cash,Card,Transfer,Online"</formula1>
    </dataValidation>
    <dataValidation type="list" allowBlank="1" showInputMessage="1" showErrorMessage="1" sqref="E2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3">
      <formula1>"Cash,Card,Transfer,Online"</formula1>
    </dataValidation>
    <dataValidation type="list" allowBlank="1" showInputMessage="1" showErrorMessage="1" sqref="E2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4">
      <formula1>"Cash,Card,Transfer,Online"</formula1>
    </dataValidation>
    <dataValidation type="list" allowBlank="1" showInputMessage="1" showErrorMessage="1" sqref="E2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5">
      <formula1>"Cash,Card,Transfer,Online"</formula1>
    </dataValidation>
    <dataValidation type="list" allowBlank="1" showInputMessage="1" showErrorMessage="1" sqref="E2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6">
      <formula1>"Cash,Card,Transfer,Online"</formula1>
    </dataValidation>
    <dataValidation type="list" allowBlank="1" showInputMessage="1" showErrorMessage="1" sqref="E2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7">
      <formula1>"Cash,Card,Transfer,Online"</formula1>
    </dataValidation>
    <dataValidation type="list" allowBlank="1" showInputMessage="1" showErrorMessage="1" sqref="E2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8">
      <formula1>"Cash,Card,Transfer,Online"</formula1>
    </dataValidation>
    <dataValidation type="list" allowBlank="1" showInputMessage="1" showErrorMessage="1" sqref="E2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29">
      <formula1>"Cash,Card,Transfer,Online"</formula1>
    </dataValidation>
    <dataValidation type="list" allowBlank="1" showInputMessage="1" showErrorMessage="1" sqref="E3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0">
      <formula1>"Cash,Card,Transfer,Online"</formula1>
    </dataValidation>
    <dataValidation type="list" allowBlank="1" showInputMessage="1" showErrorMessage="1" sqref="E31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1">
      <formula1>"Cash,Card,Transfer,Online"</formula1>
    </dataValidation>
    <dataValidation type="list" allowBlank="1" showInputMessage="1" showErrorMessage="1" sqref="E32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2">
      <formula1>"Cash,Card,Transfer,Online"</formula1>
    </dataValidation>
    <dataValidation type="list" allowBlank="1" showInputMessage="1" showErrorMessage="1" sqref="E33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3">
      <formula1>"Cash,Card,Transfer,Online"</formula1>
    </dataValidation>
    <dataValidation type="list" allowBlank="1" showInputMessage="1" showErrorMessage="1" sqref="E34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4">
      <formula1>"Cash,Card,Transfer,Online"</formula1>
    </dataValidation>
    <dataValidation type="list" allowBlank="1" showInputMessage="1" showErrorMessage="1" sqref="E35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5">
      <formula1>"Cash,Card,Transfer,Online"</formula1>
    </dataValidation>
    <dataValidation type="list" allowBlank="1" showInputMessage="1" showErrorMessage="1" sqref="E36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6">
      <formula1>"Cash,Card,Transfer,Online"</formula1>
    </dataValidation>
    <dataValidation type="list" allowBlank="1" showInputMessage="1" showErrorMessage="1" sqref="E37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7">
      <formula1>"Cash,Card,Transfer,Online"</formula1>
    </dataValidation>
    <dataValidation type="list" allowBlank="1" showInputMessage="1" showErrorMessage="1" sqref="E38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8">
      <formula1>"Cash,Card,Transfer,Online"</formula1>
    </dataValidation>
    <dataValidation type="list" allowBlank="1" showInputMessage="1" showErrorMessage="1" sqref="E39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39">
      <formula1>"Cash,Card,Transfer,Online"</formula1>
    </dataValidation>
    <dataValidation type="list" allowBlank="1" showInputMessage="1" showErrorMessage="1" sqref="E40">
      <formula1>"Rent + Utilities,Electricity Deposit,Internet &amp; Phone Bills,Food &amp; Groceries,Investments,Date Nights,Annual Costs Savings,Emergency Buffer,Personal Care,Personal Savings,Miscellaneous"</formula1>
    </dataValidation>
    <dataValidation type="list" allowBlank="1" showInputMessage="1" showErrorMessage="1" sqref="H40">
      <formula1>"Cash,Card,Transfer,Online"</formula1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39C12"/>
  </sheetPr>
  <dimension ref="B1:H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5.7109375" customWidth="1"/>
    <col min="2" max="2" width="32.7109375" customWidth="1"/>
    <col min="3" max="5" width="20.7109375" customWidth="1"/>
    <col min="6" max="7" width="16.7109375" customWidth="1"/>
    <col min="8" max="8" width="18.7109375" customWidth="1"/>
  </cols>
  <sheetData>
    <row r="1" spans="2:8" x14ac:dyDescent="0.25">
      <c r="B1" s="2" t="s">
        <v>163</v>
      </c>
      <c r="C1" s="2"/>
      <c r="D1" s="2"/>
      <c r="E1" s="2"/>
      <c r="F1" s="2"/>
      <c r="G1" s="2"/>
      <c r="H1" s="2"/>
    </row>
    <row r="2" spans="2:8" x14ac:dyDescent="0.25">
      <c r="B2" s="8" t="s">
        <v>164</v>
      </c>
      <c r="C2" s="8"/>
      <c r="D2" s="8"/>
      <c r="E2" s="8"/>
      <c r="F2" s="8"/>
      <c r="G2" s="8"/>
      <c r="H2" s="8"/>
    </row>
    <row r="3" spans="2:8" x14ac:dyDescent="0.25">
      <c r="B3" s="18" t="s">
        <v>31</v>
      </c>
      <c r="C3" s="18" t="s">
        <v>23</v>
      </c>
      <c r="D3" s="18" t="s">
        <v>165</v>
      </c>
      <c r="E3" s="18" t="s">
        <v>25</v>
      </c>
      <c r="F3" s="18" t="s">
        <v>35</v>
      </c>
      <c r="G3" s="18" t="s">
        <v>166</v>
      </c>
      <c r="H3" s="18" t="s">
        <v>34</v>
      </c>
    </row>
    <row r="4" spans="2:8" x14ac:dyDescent="0.25">
      <c r="B4" s="24" t="s">
        <v>36</v>
      </c>
      <c r="C4" s="11">
        <f>'Monthly Budget'!D3*12</f>
        <v>0</v>
      </c>
      <c r="D4" s="11">
        <f>'January 2026'!M6+'February 2026'!M6+'March 2026'!M6+'April 2026'!M6+'May 2026'!M6+'June 2026'!M6+'July 2026'!M6+'August 2026'!M6+'September 2026'!M6+'October 2026'!M6+'November 2026'!M6+'December 2026'!M6</f>
        <v>0</v>
      </c>
      <c r="E4" s="11">
        <f>C4-D4</f>
        <v>0</v>
      </c>
      <c r="F4" s="13">
        <f>IFERROR(IF(C4&gt;0,D4/C4,0),0)</f>
        <v>0</v>
      </c>
      <c r="G4" s="13">
        <f>IFERROR(IF($D$15&gt;0,D4/$D$15,0),0)</f>
        <v>0</v>
      </c>
      <c r="H4" s="12">
        <f>IF(D4&gt;C4,"OVER BUDGET",IF(D4&gt;C4*0.9,"WARNING",IF(D4&gt;C4*0.75,"CAUTION","ON TRACK")))</f>
        <v>0</v>
      </c>
    </row>
    <row r="5" spans="2:8" x14ac:dyDescent="0.25">
      <c r="B5" s="25" t="s">
        <v>37</v>
      </c>
      <c r="C5" s="11">
        <f>'Monthly Budget'!D4*12</f>
        <v>0</v>
      </c>
      <c r="D5" s="11">
        <f>'January 2026'!M7+'February 2026'!M7+'March 2026'!M7+'April 2026'!M7+'May 2026'!M7+'June 2026'!M7+'July 2026'!M7+'August 2026'!M7+'September 2026'!M7+'October 2026'!M7+'November 2026'!M7+'December 2026'!M7</f>
        <v>0</v>
      </c>
      <c r="E5" s="11">
        <f>C5-D5</f>
        <v>0</v>
      </c>
      <c r="F5" s="13">
        <f>IFERROR(IF(C5&gt;0,D5/C5,0),0)</f>
        <v>0</v>
      </c>
      <c r="G5" s="13">
        <f>IFERROR(IF($D$15&gt;0,D5/$D$15,0),0)</f>
        <v>0</v>
      </c>
      <c r="H5" s="12">
        <f>IF(D5&gt;C5,"OVER BUDGET",IF(D5&gt;C5*0.9,"WARNING",IF(D5&gt;C5*0.75,"CAUTION","ON TRACK")))</f>
        <v>0</v>
      </c>
    </row>
    <row r="6" spans="2:8" x14ac:dyDescent="0.25">
      <c r="B6" s="27" t="s">
        <v>38</v>
      </c>
      <c r="C6" s="11">
        <f>'Monthly Budget'!D5*12</f>
        <v>0</v>
      </c>
      <c r="D6" s="11">
        <f>'January 2026'!M8+'February 2026'!M8+'March 2026'!M8+'April 2026'!M8+'May 2026'!M8+'June 2026'!M8+'July 2026'!M8+'August 2026'!M8+'September 2026'!M8+'October 2026'!M8+'November 2026'!M8+'December 2026'!M8</f>
        <v>0</v>
      </c>
      <c r="E6" s="11">
        <f>C6-D6</f>
        <v>0</v>
      </c>
      <c r="F6" s="13">
        <f>IFERROR(IF(C6&gt;0,D6/C6,0),0)</f>
        <v>0</v>
      </c>
      <c r="G6" s="13">
        <f>IFERROR(IF($D$15&gt;0,D6/$D$15,0),0)</f>
        <v>0</v>
      </c>
      <c r="H6" s="12">
        <f>IF(D6&gt;C6,"OVER BUDGET",IF(D6&gt;C6*0.9,"WARNING",IF(D6&gt;C6*0.75,"CAUTION","ON TRACK")))</f>
        <v>0</v>
      </c>
    </row>
    <row r="7" spans="2:8" x14ac:dyDescent="0.25">
      <c r="B7" s="29" t="s">
        <v>39</v>
      </c>
      <c r="C7" s="11">
        <f>'Monthly Budget'!D6*12</f>
        <v>0</v>
      </c>
      <c r="D7" s="11">
        <f>'January 2026'!M9+'February 2026'!M9+'March 2026'!M9+'April 2026'!M9+'May 2026'!M9+'June 2026'!M9+'July 2026'!M9+'August 2026'!M9+'September 2026'!M9+'October 2026'!M9+'November 2026'!M9+'December 2026'!M9</f>
        <v>0</v>
      </c>
      <c r="E7" s="11">
        <f>C7-D7</f>
        <v>0</v>
      </c>
      <c r="F7" s="13">
        <f>IFERROR(IF(C7&gt;0,D7/C7,0),0)</f>
        <v>0</v>
      </c>
      <c r="G7" s="13">
        <f>IFERROR(IF($D$15&gt;0,D7/$D$15,0),0)</f>
        <v>0</v>
      </c>
      <c r="H7" s="12">
        <f>IF(D7&gt;C7,"OVER BUDGET",IF(D7&gt;C7*0.9,"WARNING",IF(D7&gt;C7*0.75,"CAUTION","ON TRACK")))</f>
        <v>0</v>
      </c>
    </row>
    <row r="8" spans="2:8" x14ac:dyDescent="0.25">
      <c r="B8" s="30" t="s">
        <v>40</v>
      </c>
      <c r="C8" s="11">
        <f>'Monthly Budget'!D7*12</f>
        <v>0</v>
      </c>
      <c r="D8" s="11">
        <f>'January 2026'!M10+'February 2026'!M10+'March 2026'!M10+'April 2026'!M10+'May 2026'!M10+'June 2026'!M10+'July 2026'!M10+'August 2026'!M10+'September 2026'!M10+'October 2026'!M10+'November 2026'!M10+'December 2026'!M10</f>
        <v>0</v>
      </c>
      <c r="E8" s="11">
        <f>C8-D8</f>
        <v>0</v>
      </c>
      <c r="F8" s="13">
        <f>IFERROR(IF(C8&gt;0,D8/C8,0),0)</f>
        <v>0</v>
      </c>
      <c r="G8" s="13">
        <f>IFERROR(IF($D$15&gt;0,D8/$D$15,0),0)</f>
        <v>0</v>
      </c>
      <c r="H8" s="12">
        <f>IF(D8&gt;C8,"OVER BUDGET",IF(D8&gt;C8*0.9,"WARNING",IF(D8&gt;C8*0.75,"CAUTION","ON TRACK")))</f>
        <v>0</v>
      </c>
    </row>
    <row r="9" spans="2:8" x14ac:dyDescent="0.25">
      <c r="B9" s="31" t="s">
        <v>41</v>
      </c>
      <c r="C9" s="11">
        <f>'Monthly Budget'!D8*12</f>
        <v>0</v>
      </c>
      <c r="D9" s="11">
        <f>'January 2026'!M11+'February 2026'!M11+'March 2026'!M11+'April 2026'!M11+'May 2026'!M11+'June 2026'!M11+'July 2026'!M11+'August 2026'!M11+'September 2026'!M11+'October 2026'!M11+'November 2026'!M11+'December 2026'!M11</f>
        <v>0</v>
      </c>
      <c r="E9" s="11">
        <f>C9-D9</f>
        <v>0</v>
      </c>
      <c r="F9" s="13">
        <f>IFERROR(IF(C9&gt;0,D9/C9,0),0)</f>
        <v>0</v>
      </c>
      <c r="G9" s="13">
        <f>IFERROR(IF($D$15&gt;0,D9/$D$15,0),0)</f>
        <v>0</v>
      </c>
      <c r="H9" s="12">
        <f>IF(D9&gt;C9,"OVER BUDGET",IF(D9&gt;C9*0.9,"WARNING",IF(D9&gt;C9*0.75,"CAUTION","ON TRACK")))</f>
        <v>0</v>
      </c>
    </row>
    <row r="10" spans="2:8" x14ac:dyDescent="0.25">
      <c r="B10" s="33" t="s">
        <v>42</v>
      </c>
      <c r="C10" s="11">
        <f>'Monthly Budget'!D9*12</f>
        <v>0</v>
      </c>
      <c r="D10" s="11">
        <f>'January 2026'!M12+'February 2026'!M12+'March 2026'!M12+'April 2026'!M12+'May 2026'!M12+'June 2026'!M12+'July 2026'!M12+'August 2026'!M12+'September 2026'!M12+'October 2026'!M12+'November 2026'!M12+'December 2026'!M12</f>
        <v>0</v>
      </c>
      <c r="E10" s="11">
        <f>C10-D10</f>
        <v>0</v>
      </c>
      <c r="F10" s="13">
        <f>IFERROR(IF(C10&gt;0,D10/C10,0),0)</f>
        <v>0</v>
      </c>
      <c r="G10" s="13">
        <f>IFERROR(IF($D$15&gt;0,D10/$D$15,0),0)</f>
        <v>0</v>
      </c>
      <c r="H10" s="12">
        <f>IF(D10&gt;C10,"OVER BUDGET",IF(D10&gt;C10*0.9,"WARNING",IF(D10&gt;C10*0.75,"CAUTION","ON TRACK")))</f>
        <v>0</v>
      </c>
    </row>
    <row r="11" spans="2:8" x14ac:dyDescent="0.25">
      <c r="B11" s="38" t="s">
        <v>43</v>
      </c>
      <c r="C11" s="11">
        <f>'Monthly Budget'!D10*12</f>
        <v>0</v>
      </c>
      <c r="D11" s="11">
        <f>'January 2026'!M13+'February 2026'!M13+'March 2026'!M13+'April 2026'!M13+'May 2026'!M13+'June 2026'!M13+'July 2026'!M13+'August 2026'!M13+'September 2026'!M13+'October 2026'!M13+'November 2026'!M13+'December 2026'!M13</f>
        <v>0</v>
      </c>
      <c r="E11" s="11">
        <f>C11-D11</f>
        <v>0</v>
      </c>
      <c r="F11" s="13">
        <f>IFERROR(IF(C11&gt;0,D11/C11,0),0)</f>
        <v>0</v>
      </c>
      <c r="G11" s="13">
        <f>IFERROR(IF($D$15&gt;0,D11/$D$15,0),0)</f>
        <v>0</v>
      </c>
      <c r="H11" s="12">
        <f>IF(D11&gt;C11,"OVER BUDGET",IF(D11&gt;C11*0.9,"WARNING",IF(D11&gt;C11*0.75,"CAUTION","ON TRACK")))</f>
        <v>0</v>
      </c>
    </row>
    <row r="12" spans="2:8" x14ac:dyDescent="0.25">
      <c r="B12" s="59" t="s">
        <v>83</v>
      </c>
      <c r="C12" s="11">
        <f>'Monthly Budget'!D11*12</f>
        <v>0</v>
      </c>
      <c r="D12" s="11">
        <f>'January 2026'!M14+'February 2026'!M14+'March 2026'!M14+'April 2026'!M14+'May 2026'!M14+'June 2026'!M14+'July 2026'!M14+'August 2026'!M14+'September 2026'!M14+'October 2026'!M14+'November 2026'!M14+'December 2026'!M14</f>
        <v>0</v>
      </c>
      <c r="E12" s="11">
        <f>C12-D12</f>
        <v>0</v>
      </c>
      <c r="F12" s="13">
        <f>IFERROR(IF(C12&gt;0,D12/C12,0),0)</f>
        <v>0</v>
      </c>
      <c r="G12" s="13">
        <f>IFERROR(IF($D$15&gt;0,D12/$D$15,0),0)</f>
        <v>0</v>
      </c>
      <c r="H12" s="12">
        <f>IF(D12&gt;C12,"OVER BUDGET",IF(D12&gt;C12*0.9,"WARNING",IF(D12&gt;C12*0.75,"CAUTION","ON TRACK")))</f>
        <v>0</v>
      </c>
    </row>
    <row r="13" spans="2:8" x14ac:dyDescent="0.25">
      <c r="B13" s="60" t="s">
        <v>84</v>
      </c>
      <c r="C13" s="11">
        <f>'Monthly Budget'!D12*12</f>
        <v>0</v>
      </c>
      <c r="D13" s="11">
        <f>'January 2026'!M15+'February 2026'!M15+'March 2026'!M15+'April 2026'!M15+'May 2026'!M15+'June 2026'!M15+'July 2026'!M15+'August 2026'!M15+'September 2026'!M15+'October 2026'!M15+'November 2026'!M15+'December 2026'!M15</f>
        <v>0</v>
      </c>
      <c r="E13" s="11">
        <f>C13-D13</f>
        <v>0</v>
      </c>
      <c r="F13" s="13">
        <f>IFERROR(IF(C13&gt;0,D13/C13,0),0)</f>
        <v>0</v>
      </c>
      <c r="G13" s="13">
        <f>IFERROR(IF($D$15&gt;0,D13/$D$15,0),0)</f>
        <v>0</v>
      </c>
      <c r="H13" s="12">
        <f>IF(D13&gt;C13,"OVER BUDGET",IF(D13&gt;C13*0.9,"WARNING",IF(D13&gt;C13*0.75,"CAUTION","ON TRACK")))</f>
        <v>0</v>
      </c>
    </row>
    <row r="14" spans="2:8" x14ac:dyDescent="0.25">
      <c r="B14" s="61" t="s">
        <v>85</v>
      </c>
      <c r="C14" s="11">
        <f>'Monthly Budget'!D13*12</f>
        <v>0</v>
      </c>
      <c r="D14" s="11">
        <f>'January 2026'!M16+'February 2026'!M16+'March 2026'!M16+'April 2026'!M16+'May 2026'!M16+'June 2026'!M16+'July 2026'!M16+'August 2026'!M16+'September 2026'!M16+'October 2026'!M16+'November 2026'!M16+'December 2026'!M16</f>
        <v>0</v>
      </c>
      <c r="E14" s="11">
        <f>C14-D14</f>
        <v>0</v>
      </c>
      <c r="F14" s="13">
        <f>IFERROR(IF(C14&gt;0,D14/C14,0),0)</f>
        <v>0</v>
      </c>
      <c r="G14" s="13">
        <f>IFERROR(IF($D$15&gt;0,D14/$D$15,0),0)</f>
        <v>0</v>
      </c>
      <c r="H14" s="12">
        <f>IF(D14&gt;C14,"OVER BUDGET",IF(D14&gt;C14*0.9,"WARNING",IF(D14&gt;C14*0.75,"CAUTION","ON TRACK")))</f>
        <v>0</v>
      </c>
    </row>
    <row r="15" spans="2:8" x14ac:dyDescent="0.25">
      <c r="B15" s="52" t="s">
        <v>65</v>
      </c>
      <c r="C15" s="22">
        <f>SUM(C4:C14)</f>
        <v>0</v>
      </c>
      <c r="D15" s="22">
        <f>SUM(D4:D14)</f>
        <v>0</v>
      </c>
      <c r="E15" s="22">
        <f>SUM(E4:E14)</f>
        <v>0</v>
      </c>
      <c r="F15" s="23">
        <f>IFERROR(IF(C15&gt;0,D15/C15,0),0)</f>
        <v>0</v>
      </c>
    </row>
  </sheetData>
  <mergeCells count="2">
    <mergeCell ref="B1:H1"/>
    <mergeCell ref="B2:H2"/>
  </mergeCells>
  <conditionalFormatting sqref="E4:E14">
    <cfRule type="cellIs" dxfId="0" priority="5" operator="lessThan">
      <formula>0</formula>
    </cfRule>
  </conditionalFormatting>
  <conditionalFormatting sqref="F4:F14">
    <cfRule type="dataBar" priority="6">
      <dataBar>
        <cfvo type="min"/>
        <cfvo type="max" val="1"/>
        <color rgb="FF3498DB"/>
      </dataBar>
      <extLst>
        <ext xmlns:x14="http://schemas.microsoft.com/office/spreadsheetml/2009/9/main" uri="{B025F937-C7B1-47D3-B67F-A62EFF666E3E}">
          <x14:id>{DA7ABA51-AAAA-BBBB-000F-000000000001}</x14:id>
        </ext>
      </extLst>
    </cfRule>
  </conditionalFormatting>
  <conditionalFormatting sqref="H4:H14">
    <cfRule type="containsText" dxfId="0" priority="1" operator="containsText" text="OVER">
      <formula>NOT(ISERROR(SEARCH("OVER",H4)))</formula>
    </cfRule>
    <cfRule type="containsText" dxfId="1" priority="2" operator="containsText" text="WARNING">
      <formula>NOT(ISERROR(SEARCH("WARNING",H4)))</formula>
    </cfRule>
    <cfRule type="containsText" dxfId="14" priority="3" operator="containsText" text="CAUTION">
      <formula>NOT(ISERROR(SEARCH("CAUTION",H4)))</formula>
    </cfRule>
    <cfRule type="containsText" dxfId="2" priority="4" operator="containsText" text="ON TRACK">
      <formula>NOT(ISERROR(SEARCH("ON TRACK",H4)))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F-000000000001}">
            <x14:dataBar minLength="0" maxLength="100" border="1" gradient="0" negativeBarBorderColorSameAsPositive="0">
              <x14:cfvo type="autoMin"/>
              <x14:cfvo type="autoMax"/>
              <x14:borderColor rgb="FF3498DB"/>
              <x14:negativeFillColor rgb="FFFF0000"/>
              <x14:negativeBorderColor rgb="FFFF0000"/>
              <x14:axisColor rgb="FF000000"/>
            </x14:dataBar>
          </x14:cfRule>
          <xm:sqref>F4:F14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1ABC9C"/>
  </sheetPr>
  <dimension ref="B1:I1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5.7109375" customWidth="1"/>
    <col min="2" max="2" width="16.7109375" customWidth="1"/>
    <col min="3" max="7" width="20.7109375" customWidth="1"/>
    <col min="8" max="8" width="16.7109375" customWidth="1"/>
    <col min="9" max="9" width="12.7109375" customWidth="1"/>
  </cols>
  <sheetData>
    <row r="1" spans="2:9">
      <c r="B1" s="2" t="s">
        <v>167</v>
      </c>
      <c r="C1" s="2"/>
      <c r="D1" s="2"/>
      <c r="E1" s="2"/>
      <c r="F1" s="2"/>
      <c r="G1" s="2"/>
      <c r="H1" s="2"/>
      <c r="I1" s="2"/>
    </row>
    <row r="2" spans="2:9">
      <c r="B2" s="8" t="s">
        <v>164</v>
      </c>
      <c r="C2" s="8"/>
      <c r="D2" s="8"/>
      <c r="E2" s="8"/>
      <c r="F2" s="8"/>
      <c r="G2" s="8"/>
      <c r="H2" s="8"/>
      <c r="I2" s="8"/>
    </row>
    <row r="3" spans="2:9">
      <c r="B3" s="18" t="s">
        <v>60</v>
      </c>
      <c r="C3" s="18" t="s">
        <v>168</v>
      </c>
      <c r="D3" s="18" t="s">
        <v>169</v>
      </c>
      <c r="E3" s="18" t="s">
        <v>170</v>
      </c>
      <c r="F3" s="18" t="s">
        <v>32</v>
      </c>
      <c r="G3" s="18" t="s">
        <v>171</v>
      </c>
      <c r="H3" s="18" t="s">
        <v>34</v>
      </c>
      <c r="I3" s="18" t="s">
        <v>172</v>
      </c>
    </row>
    <row r="4" spans="2:9">
      <c r="B4" s="10" t="s">
        <v>173</v>
      </c>
      <c r="C4" s="11">
        <f>'January 2026'!C5</f>
        <v>0</v>
      </c>
      <c r="D4" s="11">
        <f>'January 2026'!C6</f>
        <v>0</v>
      </c>
      <c r="E4" s="11">
        <f>'January 2026'!G41</f>
        <v>0</v>
      </c>
      <c r="F4" s="11">
        <f>'Monthly Budget'!D14</f>
        <v>0</v>
      </c>
      <c r="G4" s="11">
        <f>F4-E4</f>
        <v>0</v>
      </c>
      <c r="H4" s="12">
        <f>IF(E4&gt;F4,"OVER",IF(E4&gt;F4*0.9,"WARN","OK"))</f>
        <v>0</v>
      </c>
      <c r="I4" s="12">
        <v>31</v>
      </c>
    </row>
    <row r="5" spans="2:9">
      <c r="B5" s="42" t="s">
        <v>174</v>
      </c>
      <c r="C5" s="11">
        <f>'February 2026'!C5</f>
        <v>0</v>
      </c>
      <c r="D5" s="11">
        <f>'February 2026'!C6</f>
        <v>0</v>
      </c>
      <c r="E5" s="11">
        <f>'February 2026'!G38</f>
        <v>0</v>
      </c>
      <c r="F5" s="11">
        <f>'Monthly Budget'!D14</f>
        <v>0</v>
      </c>
      <c r="G5" s="11">
        <f>F5-E5</f>
        <v>0</v>
      </c>
      <c r="H5" s="12">
        <f>IF(E5&gt;F5,"OVER",IF(E5&gt;F5*0.9,"WARN","OK"))</f>
        <v>0</v>
      </c>
      <c r="I5" s="12">
        <v>28</v>
      </c>
    </row>
    <row r="6" spans="2:9">
      <c r="B6" s="16" t="s">
        <v>175</v>
      </c>
      <c r="C6" s="11">
        <f>'March 2026'!C5</f>
        <v>0</v>
      </c>
      <c r="D6" s="11">
        <f>'March 2026'!C6</f>
        <v>0</v>
      </c>
      <c r="E6" s="11">
        <f>'March 2026'!G41</f>
        <v>0</v>
      </c>
      <c r="F6" s="11">
        <f>'Monthly Budget'!D14</f>
        <v>0</v>
      </c>
      <c r="G6" s="11">
        <f>F6-E6</f>
        <v>0</v>
      </c>
      <c r="H6" s="12">
        <f>IF(E6&gt;F6,"OVER",IF(E6&gt;F6*0.9,"WARN","OK"))</f>
        <v>0</v>
      </c>
      <c r="I6" s="12">
        <v>31</v>
      </c>
    </row>
    <row r="7" spans="2:9">
      <c r="B7" s="43" t="s">
        <v>176</v>
      </c>
      <c r="C7" s="11">
        <f>'April 2026'!C5</f>
        <v>0</v>
      </c>
      <c r="D7" s="11">
        <f>'April 2026'!C6</f>
        <v>0</v>
      </c>
      <c r="E7" s="11">
        <f>'April 2026'!G40</f>
        <v>0</v>
      </c>
      <c r="F7" s="11">
        <f>'Monthly Budget'!D14</f>
        <v>0</v>
      </c>
      <c r="G7" s="11">
        <f>F7-E7</f>
        <v>0</v>
      </c>
      <c r="H7" s="12">
        <f>IF(E7&gt;F7,"OVER",IF(E7&gt;F7*0.9,"WARN","OK"))</f>
        <v>0</v>
      </c>
      <c r="I7" s="12">
        <v>30</v>
      </c>
    </row>
    <row r="8" spans="2:9">
      <c r="B8" s="44" t="s">
        <v>51</v>
      </c>
      <c r="C8" s="11">
        <f>'May 2026'!C5</f>
        <v>0</v>
      </c>
      <c r="D8" s="11">
        <f>'May 2026'!C6</f>
        <v>0</v>
      </c>
      <c r="E8" s="11">
        <f>'May 2026'!G41</f>
        <v>0</v>
      </c>
      <c r="F8" s="11">
        <f>'Monthly Budget'!D14</f>
        <v>0</v>
      </c>
      <c r="G8" s="11">
        <f>F8-E8</f>
        <v>0</v>
      </c>
      <c r="H8" s="12">
        <f>IF(E8&gt;F8,"OVER",IF(E8&gt;F8*0.9,"WARN","OK"))</f>
        <v>0</v>
      </c>
      <c r="I8" s="12">
        <v>31</v>
      </c>
    </row>
    <row r="9" spans="2:9">
      <c r="B9" s="45" t="s">
        <v>177</v>
      </c>
      <c r="C9" s="11">
        <f>'June 2026'!C5</f>
        <v>0</v>
      </c>
      <c r="D9" s="11">
        <f>'June 2026'!C6</f>
        <v>0</v>
      </c>
      <c r="E9" s="11">
        <f>'June 2026'!G40</f>
        <v>0</v>
      </c>
      <c r="F9" s="11">
        <f>'Monthly Budget'!D14</f>
        <v>0</v>
      </c>
      <c r="G9" s="11">
        <f>F9-E9</f>
        <v>0</v>
      </c>
      <c r="H9" s="12">
        <f>IF(E9&gt;F9,"OVER",IF(E9&gt;F9*0.9,"WARN","OK"))</f>
        <v>0</v>
      </c>
      <c r="I9" s="12">
        <v>30</v>
      </c>
    </row>
    <row r="10" spans="2:9">
      <c r="B10" s="46" t="s">
        <v>178</v>
      </c>
      <c r="C10" s="11">
        <f>'July 2026'!C5</f>
        <v>0</v>
      </c>
      <c r="D10" s="11">
        <f>'July 2026'!C6</f>
        <v>0</v>
      </c>
      <c r="E10" s="11">
        <f>'July 2026'!G41</f>
        <v>0</v>
      </c>
      <c r="F10" s="11">
        <f>'Monthly Budget'!D14</f>
        <v>0</v>
      </c>
      <c r="G10" s="11">
        <f>F10-E10</f>
        <v>0</v>
      </c>
      <c r="H10" s="12">
        <f>IF(E10&gt;F10,"OVER",IF(E10&gt;F10*0.9,"WARN","OK"))</f>
        <v>0</v>
      </c>
      <c r="I10" s="12">
        <v>31</v>
      </c>
    </row>
    <row r="11" spans="2:9">
      <c r="B11" s="47" t="s">
        <v>179</v>
      </c>
      <c r="C11" s="11">
        <f>'August 2026'!C5</f>
        <v>0</v>
      </c>
      <c r="D11" s="11">
        <f>'August 2026'!C6</f>
        <v>0</v>
      </c>
      <c r="E11" s="11">
        <f>'August 2026'!G41</f>
        <v>0</v>
      </c>
      <c r="F11" s="11">
        <f>'Monthly Budget'!D14</f>
        <v>0</v>
      </c>
      <c r="G11" s="11">
        <f>F11-E11</f>
        <v>0</v>
      </c>
      <c r="H11" s="12">
        <f>IF(E11&gt;F11,"OVER",IF(E11&gt;F11*0.9,"WARN","OK"))</f>
        <v>0</v>
      </c>
      <c r="I11" s="12">
        <v>31</v>
      </c>
    </row>
    <row r="12" spans="2:9">
      <c r="B12" s="48" t="s">
        <v>180</v>
      </c>
      <c r="C12" s="11">
        <f>'September 2026'!C5</f>
        <v>0</v>
      </c>
      <c r="D12" s="11">
        <f>'September 2026'!C6</f>
        <v>0</v>
      </c>
      <c r="E12" s="11">
        <f>'September 2026'!G40</f>
        <v>0</v>
      </c>
      <c r="F12" s="11">
        <f>'Monthly Budget'!D14</f>
        <v>0</v>
      </c>
      <c r="G12" s="11">
        <f>F12-E12</f>
        <v>0</v>
      </c>
      <c r="H12" s="12">
        <f>IF(E12&gt;F12,"OVER",IF(E12&gt;F12*0.9,"WARN","OK"))</f>
        <v>0</v>
      </c>
      <c r="I12" s="12">
        <v>30</v>
      </c>
    </row>
    <row r="13" spans="2:9">
      <c r="B13" s="49" t="s">
        <v>181</v>
      </c>
      <c r="C13" s="11">
        <f>'October 2026'!C5</f>
        <v>0</v>
      </c>
      <c r="D13" s="11">
        <f>'October 2026'!C6</f>
        <v>0</v>
      </c>
      <c r="E13" s="11">
        <f>'October 2026'!G41</f>
        <v>0</v>
      </c>
      <c r="F13" s="11">
        <f>'Monthly Budget'!D14</f>
        <v>0</v>
      </c>
      <c r="G13" s="11">
        <f>F13-E13</f>
        <v>0</v>
      </c>
      <c r="H13" s="12">
        <f>IF(E13&gt;F13,"OVER",IF(E13&gt;F13*0.9,"WARN","OK"))</f>
        <v>0</v>
      </c>
      <c r="I13" s="12">
        <v>31</v>
      </c>
    </row>
    <row r="14" spans="2:9">
      <c r="B14" s="50" t="s">
        <v>182</v>
      </c>
      <c r="C14" s="11">
        <f>'November 2026'!C5</f>
        <v>0</v>
      </c>
      <c r="D14" s="11">
        <f>'November 2026'!C6</f>
        <v>0</v>
      </c>
      <c r="E14" s="11">
        <f>'November 2026'!G40</f>
        <v>0</v>
      </c>
      <c r="F14" s="11">
        <f>'Monthly Budget'!D14</f>
        <v>0</v>
      </c>
      <c r="G14" s="11">
        <f>F14-E14</f>
        <v>0</v>
      </c>
      <c r="H14" s="12">
        <f>IF(E14&gt;F14,"OVER",IF(E14&gt;F14*0.9,"WARN","OK"))</f>
        <v>0</v>
      </c>
      <c r="I14" s="12">
        <v>30</v>
      </c>
    </row>
    <row r="15" spans="2:9">
      <c r="B15" s="51" t="s">
        <v>183</v>
      </c>
      <c r="C15" s="11">
        <f>'December 2026'!C5</f>
        <v>0</v>
      </c>
      <c r="D15" s="11">
        <f>'December 2026'!C6</f>
        <v>0</v>
      </c>
      <c r="E15" s="11">
        <f>'December 2026'!G41</f>
        <v>0</v>
      </c>
      <c r="F15" s="11">
        <f>'Monthly Budget'!D14</f>
        <v>0</v>
      </c>
      <c r="G15" s="11">
        <f>F15-E15</f>
        <v>0</v>
      </c>
      <c r="H15" s="12">
        <f>IF(E15&gt;F15,"OVER",IF(E15&gt;F15*0.9,"WARN","OK"))</f>
        <v>0</v>
      </c>
      <c r="I15" s="12">
        <v>31</v>
      </c>
    </row>
    <row r="16" spans="2:9">
      <c r="B16" s="52" t="s">
        <v>184</v>
      </c>
      <c r="C16" s="22">
        <f>C4</f>
        <v>0</v>
      </c>
      <c r="D16" s="22">
        <f>D15</f>
        <v>0</v>
      </c>
      <c r="E16" s="22">
        <f>SUM(E4:E15)</f>
        <v>0</v>
      </c>
      <c r="F16" s="22">
        <f>SUM(F4:F15)</f>
        <v>0</v>
      </c>
      <c r="G16" s="22">
        <f>SUM(G4:G15)</f>
        <v>0</v>
      </c>
      <c r="I16" s="130">
        <v>365</v>
      </c>
    </row>
  </sheetData>
  <mergeCells count="2">
    <mergeCell ref="B1:I1"/>
    <mergeCell ref="B2:I2"/>
  </mergeCells>
  <conditionalFormatting sqref="G10">
    <cfRule type="cellIs" dxfId="15" priority="34" operator="lessThan">
      <formula>0</formula>
    </cfRule>
    <cfRule type="cellIs" dxfId="16" priority="35" operator="greaterThanOrEqual">
      <formula>0</formula>
    </cfRule>
  </conditionalFormatting>
  <conditionalFormatting sqref="G11">
    <cfRule type="cellIs" dxfId="15" priority="39" operator="lessThan">
      <formula>0</formula>
    </cfRule>
    <cfRule type="cellIs" dxfId="16" priority="40" operator="greaterThanOrEqual">
      <formula>0</formula>
    </cfRule>
  </conditionalFormatting>
  <conditionalFormatting sqref="G12">
    <cfRule type="cellIs" dxfId="15" priority="44" operator="lessThan">
      <formula>0</formula>
    </cfRule>
    <cfRule type="cellIs" dxfId="16" priority="45" operator="greaterThanOrEqual">
      <formula>0</formula>
    </cfRule>
  </conditionalFormatting>
  <conditionalFormatting sqref="G13">
    <cfRule type="cellIs" dxfId="15" priority="49" operator="lessThan">
      <formula>0</formula>
    </cfRule>
    <cfRule type="cellIs" dxfId="16" priority="50" operator="greaterThanOrEqual">
      <formula>0</formula>
    </cfRule>
  </conditionalFormatting>
  <conditionalFormatting sqref="G14">
    <cfRule type="cellIs" dxfId="15" priority="54" operator="lessThan">
      <formula>0</formula>
    </cfRule>
    <cfRule type="cellIs" dxfId="16" priority="55" operator="greaterThanOrEqual">
      <formula>0</formula>
    </cfRule>
  </conditionalFormatting>
  <conditionalFormatting sqref="G15">
    <cfRule type="cellIs" dxfId="15" priority="59" operator="lessThan">
      <formula>0</formula>
    </cfRule>
    <cfRule type="cellIs" dxfId="16" priority="60" operator="greaterThanOrEqual">
      <formula>0</formula>
    </cfRule>
  </conditionalFormatting>
  <conditionalFormatting sqref="G4">
    <cfRule type="cellIs" dxfId="15" priority="4" operator="lessThan">
      <formula>0</formula>
    </cfRule>
    <cfRule type="cellIs" dxfId="16" priority="5" operator="greaterThanOrEqual">
      <formula>0</formula>
    </cfRule>
  </conditionalFormatting>
  <conditionalFormatting sqref="G5">
    <cfRule type="cellIs" dxfId="15" priority="9" operator="lessThan">
      <formula>0</formula>
    </cfRule>
    <cfRule type="cellIs" dxfId="16" priority="10" operator="greaterThanOrEqual">
      <formula>0</formula>
    </cfRule>
  </conditionalFormatting>
  <conditionalFormatting sqref="G6">
    <cfRule type="cellIs" dxfId="15" priority="14" operator="lessThan">
      <formula>0</formula>
    </cfRule>
    <cfRule type="cellIs" dxfId="16" priority="15" operator="greaterThanOrEqual">
      <formula>0</formula>
    </cfRule>
  </conditionalFormatting>
  <conditionalFormatting sqref="G7">
    <cfRule type="cellIs" dxfId="15" priority="19" operator="lessThan">
      <formula>0</formula>
    </cfRule>
    <cfRule type="cellIs" dxfId="16" priority="20" operator="greaterThanOrEqual">
      <formula>0</formula>
    </cfRule>
  </conditionalFormatting>
  <conditionalFormatting sqref="G8">
    <cfRule type="cellIs" dxfId="15" priority="24" operator="lessThan">
      <formula>0</formula>
    </cfRule>
    <cfRule type="cellIs" dxfId="16" priority="25" operator="greaterThanOrEqual">
      <formula>0</formula>
    </cfRule>
  </conditionalFormatting>
  <conditionalFormatting sqref="G9">
    <cfRule type="cellIs" dxfId="15" priority="29" operator="lessThan">
      <formula>0</formula>
    </cfRule>
    <cfRule type="cellIs" dxfId="16" priority="30" operator="greaterThanOrEqual">
      <formula>0</formula>
    </cfRule>
  </conditionalFormatting>
  <conditionalFormatting sqref="H10">
    <cfRule type="containsText" dxfId="0" priority="31" operator="containsText" text="OVER">
      <formula>NOT(ISERROR(SEARCH("OVER",H10)))</formula>
    </cfRule>
    <cfRule type="containsText" dxfId="1" priority="32" operator="containsText" text="WARN">
      <formula>NOT(ISERROR(SEARCH("WARN",H10)))</formula>
    </cfRule>
    <cfRule type="containsText" dxfId="2" priority="33" operator="containsText" text="OK">
      <formula>NOT(ISERROR(SEARCH("OK",H10)))</formula>
    </cfRule>
  </conditionalFormatting>
  <conditionalFormatting sqref="H11">
    <cfRule type="containsText" dxfId="0" priority="36" operator="containsText" text="OVER">
      <formula>NOT(ISERROR(SEARCH("OVER",H11)))</formula>
    </cfRule>
    <cfRule type="containsText" dxfId="1" priority="37" operator="containsText" text="WARN">
      <formula>NOT(ISERROR(SEARCH("WARN",H11)))</formula>
    </cfRule>
    <cfRule type="containsText" dxfId="2" priority="38" operator="containsText" text="OK">
      <formula>NOT(ISERROR(SEARCH("OK",H11)))</formula>
    </cfRule>
  </conditionalFormatting>
  <conditionalFormatting sqref="H12">
    <cfRule type="containsText" dxfId="0" priority="41" operator="containsText" text="OVER">
      <formula>NOT(ISERROR(SEARCH("OVER",H12)))</formula>
    </cfRule>
    <cfRule type="containsText" dxfId="1" priority="42" operator="containsText" text="WARN">
      <formula>NOT(ISERROR(SEARCH("WARN",H12)))</formula>
    </cfRule>
    <cfRule type="containsText" dxfId="2" priority="43" operator="containsText" text="OK">
      <formula>NOT(ISERROR(SEARCH("OK",H12)))</formula>
    </cfRule>
  </conditionalFormatting>
  <conditionalFormatting sqref="H13">
    <cfRule type="containsText" dxfId="0" priority="46" operator="containsText" text="OVER">
      <formula>NOT(ISERROR(SEARCH("OVER",H13)))</formula>
    </cfRule>
    <cfRule type="containsText" dxfId="1" priority="47" operator="containsText" text="WARN">
      <formula>NOT(ISERROR(SEARCH("WARN",H13)))</formula>
    </cfRule>
    <cfRule type="containsText" dxfId="2" priority="48" operator="containsText" text="OK">
      <formula>NOT(ISERROR(SEARCH("OK",H13)))</formula>
    </cfRule>
  </conditionalFormatting>
  <conditionalFormatting sqref="H14">
    <cfRule type="containsText" dxfId="0" priority="51" operator="containsText" text="OVER">
      <formula>NOT(ISERROR(SEARCH("OVER",H14)))</formula>
    </cfRule>
    <cfRule type="containsText" dxfId="1" priority="52" operator="containsText" text="WARN">
      <formula>NOT(ISERROR(SEARCH("WARN",H14)))</formula>
    </cfRule>
    <cfRule type="containsText" dxfId="2" priority="53" operator="containsText" text="OK">
      <formula>NOT(ISERROR(SEARCH("OK",H14)))</formula>
    </cfRule>
  </conditionalFormatting>
  <conditionalFormatting sqref="H15">
    <cfRule type="containsText" dxfId="0" priority="56" operator="containsText" text="OVER">
      <formula>NOT(ISERROR(SEARCH("OVER",H15)))</formula>
    </cfRule>
    <cfRule type="containsText" dxfId="1" priority="57" operator="containsText" text="WARN">
      <formula>NOT(ISERROR(SEARCH("WARN",H15)))</formula>
    </cfRule>
    <cfRule type="containsText" dxfId="2" priority="58" operator="containsText" text="OK">
      <formula>NOT(ISERROR(SEARCH("OK",H15)))</formula>
    </cfRule>
  </conditionalFormatting>
  <conditionalFormatting sqref="H4">
    <cfRule type="containsText" dxfId="0" priority="1" operator="containsText" text="OVER">
      <formula>NOT(ISERROR(SEARCH("OVER",H4)))</formula>
    </cfRule>
    <cfRule type="containsText" dxfId="1" priority="2" operator="containsText" text="WARN">
      <formula>NOT(ISERROR(SEARCH("WARN",H4)))</formula>
    </cfRule>
    <cfRule type="containsText" dxfId="2" priority="3" operator="containsText" text="OK">
      <formula>NOT(ISERROR(SEARCH("OK",H4)))</formula>
    </cfRule>
  </conditionalFormatting>
  <conditionalFormatting sqref="H5">
    <cfRule type="containsText" dxfId="0" priority="6" operator="containsText" text="OVER">
      <formula>NOT(ISERROR(SEARCH("OVER",H5)))</formula>
    </cfRule>
    <cfRule type="containsText" dxfId="1" priority="7" operator="containsText" text="WARN">
      <formula>NOT(ISERROR(SEARCH("WARN",H5)))</formula>
    </cfRule>
    <cfRule type="containsText" dxfId="2" priority="8" operator="containsText" text="OK">
      <formula>NOT(ISERROR(SEARCH("OK",H5)))</formula>
    </cfRule>
  </conditionalFormatting>
  <conditionalFormatting sqref="H6">
    <cfRule type="containsText" dxfId="0" priority="11" operator="containsText" text="OVER">
      <formula>NOT(ISERROR(SEARCH("OVER",H6)))</formula>
    </cfRule>
    <cfRule type="containsText" dxfId="1" priority="12" operator="containsText" text="WARN">
      <formula>NOT(ISERROR(SEARCH("WARN",H6)))</formula>
    </cfRule>
    <cfRule type="containsText" dxfId="2" priority="13" operator="containsText" text="OK">
      <formula>NOT(ISERROR(SEARCH("OK",H6)))</formula>
    </cfRule>
  </conditionalFormatting>
  <conditionalFormatting sqref="H7">
    <cfRule type="containsText" dxfId="0" priority="16" operator="containsText" text="OVER">
      <formula>NOT(ISERROR(SEARCH("OVER",H7)))</formula>
    </cfRule>
    <cfRule type="containsText" dxfId="1" priority="17" operator="containsText" text="WARN">
      <formula>NOT(ISERROR(SEARCH("WARN",H7)))</formula>
    </cfRule>
    <cfRule type="containsText" dxfId="2" priority="18" operator="containsText" text="OK">
      <formula>NOT(ISERROR(SEARCH("OK",H7)))</formula>
    </cfRule>
  </conditionalFormatting>
  <conditionalFormatting sqref="H8">
    <cfRule type="containsText" dxfId="0" priority="21" operator="containsText" text="OVER">
      <formula>NOT(ISERROR(SEARCH("OVER",H8)))</formula>
    </cfRule>
    <cfRule type="containsText" dxfId="1" priority="22" operator="containsText" text="WARN">
      <formula>NOT(ISERROR(SEARCH("WARN",H8)))</formula>
    </cfRule>
    <cfRule type="containsText" dxfId="2" priority="23" operator="containsText" text="OK">
      <formula>NOT(ISERROR(SEARCH("OK",H8)))</formula>
    </cfRule>
  </conditionalFormatting>
  <conditionalFormatting sqref="H9">
    <cfRule type="containsText" dxfId="0" priority="26" operator="containsText" text="OVER">
      <formula>NOT(ISERROR(SEARCH("OVER",H9)))</formula>
    </cfRule>
    <cfRule type="containsText" dxfId="1" priority="27" operator="containsText" text="WARN">
      <formula>NOT(ISERROR(SEARCH("WARN",H9)))</formula>
    </cfRule>
    <cfRule type="containsText" dxfId="2" priority="28" operator="containsText" text="OK">
      <formula>NOT(ISERROR(SEARCH("OK",H9)))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9B59B6"/>
  </sheetPr>
  <dimension ref="B1:R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6" width="16.7109375" customWidth="1"/>
  </cols>
  <sheetData>
    <row r="1" spans="2:18" ht="45" customHeight="1">
      <c r="B1" s="2" t="s">
        <v>185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8">
      <c r="B2" s="9" t="s">
        <v>186</v>
      </c>
      <c r="C2" s="9"/>
      <c r="D2" s="9"/>
      <c r="E2" s="9"/>
      <c r="F2" s="9"/>
      <c r="G2" s="9"/>
      <c r="H2" s="9"/>
      <c r="J2" s="9" t="s">
        <v>187</v>
      </c>
      <c r="K2" s="9"/>
      <c r="L2" s="9"/>
      <c r="M2" s="9"/>
      <c r="N2" s="9"/>
      <c r="O2" s="9"/>
      <c r="P2" s="9"/>
      <c r="Q2" s="9"/>
      <c r="R2" s="9"/>
    </row>
    <row r="23" spans="2:18">
      <c r="B23" s="9" t="s">
        <v>188</v>
      </c>
      <c r="C23" s="9"/>
      <c r="D23" s="9"/>
      <c r="E23" s="9"/>
      <c r="F23" s="9"/>
      <c r="G23" s="9"/>
      <c r="H23" s="9"/>
      <c r="J23" s="9" t="s">
        <v>189</v>
      </c>
      <c r="K23" s="9"/>
      <c r="L23" s="9"/>
      <c r="M23" s="9"/>
      <c r="N23" s="9"/>
      <c r="O23" s="9"/>
      <c r="P23" s="9"/>
      <c r="Q23" s="9"/>
      <c r="R23" s="9"/>
    </row>
    <row r="44" spans="2:14">
      <c r="B44" s="9" t="s">
        <v>190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66" spans="2:18">
      <c r="B66" s="9" t="s">
        <v>191</v>
      </c>
      <c r="C66" s="9"/>
      <c r="D66" s="9"/>
      <c r="E66" s="9"/>
      <c r="F66" s="9"/>
      <c r="G66" s="9"/>
      <c r="H66" s="9"/>
      <c r="J66" s="9" t="s">
        <v>192</v>
      </c>
      <c r="K66" s="9"/>
      <c r="L66" s="9"/>
      <c r="M66" s="9"/>
      <c r="N66" s="9"/>
      <c r="O66" s="9"/>
      <c r="P66" s="9"/>
      <c r="Q66" s="9"/>
      <c r="R66" s="9"/>
    </row>
    <row r="88" spans="2:18">
      <c r="B88" s="9" t="s">
        <v>193</v>
      </c>
      <c r="C88" s="9"/>
      <c r="D88" s="9"/>
      <c r="E88" s="9"/>
      <c r="F88" s="9"/>
      <c r="G88" s="9"/>
      <c r="H88" s="9"/>
      <c r="J88" s="9" t="s">
        <v>194</v>
      </c>
      <c r="K88" s="9"/>
      <c r="L88" s="9"/>
      <c r="M88" s="9"/>
      <c r="N88" s="9"/>
      <c r="O88" s="9"/>
      <c r="P88" s="9"/>
      <c r="Q88" s="9"/>
      <c r="R88" s="9"/>
    </row>
  </sheetData>
  <mergeCells count="10">
    <mergeCell ref="B1:N1"/>
    <mergeCell ref="B2:H2"/>
    <mergeCell ref="J2:R2"/>
    <mergeCell ref="B23:H23"/>
    <mergeCell ref="J23:R23"/>
    <mergeCell ref="B44:N44"/>
    <mergeCell ref="B66:H66"/>
    <mergeCell ref="J66:R66"/>
    <mergeCell ref="B88:H88"/>
    <mergeCell ref="J88:R88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95A5A6"/>
  </sheetPr>
  <dimension ref="B1:D3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.7109375" customWidth="1"/>
    <col min="2" max="2" width="30.7109375" customWidth="1"/>
    <col min="3" max="3" width="15.7109375" customWidth="1"/>
    <col min="4" max="4" width="50.7109375" customWidth="1"/>
  </cols>
  <sheetData>
    <row r="1" spans="2:4" ht="40" customHeight="1">
      <c r="B1" s="2" t="s">
        <v>195</v>
      </c>
      <c r="C1" s="2"/>
      <c r="D1" s="2"/>
    </row>
    <row r="2" spans="2:4">
      <c r="B2" s="18" t="s">
        <v>31</v>
      </c>
      <c r="C2" s="18" t="s">
        <v>196</v>
      </c>
      <c r="D2" s="18" t="s">
        <v>117</v>
      </c>
    </row>
    <row r="3" spans="2:4">
      <c r="B3" s="1" t="s">
        <v>36</v>
      </c>
      <c r="C3" s="24"/>
      <c r="D3" s="1" t="s">
        <v>197</v>
      </c>
    </row>
    <row r="4" spans="2:4">
      <c r="B4" s="1" t="s">
        <v>37</v>
      </c>
      <c r="C4" s="25"/>
      <c r="D4" s="1" t="s">
        <v>198</v>
      </c>
    </row>
    <row r="5" spans="2:4">
      <c r="B5" s="1" t="s">
        <v>38</v>
      </c>
      <c r="C5" s="27"/>
      <c r="D5" s="1" t="s">
        <v>199</v>
      </c>
    </row>
    <row r="6" spans="2:4">
      <c r="B6" s="1" t="s">
        <v>39</v>
      </c>
      <c r="C6" s="29"/>
      <c r="D6" s="1" t="s">
        <v>200</v>
      </c>
    </row>
    <row r="7" spans="2:4">
      <c r="B7" s="1" t="s">
        <v>40</v>
      </c>
      <c r="C7" s="30"/>
      <c r="D7" s="1" t="s">
        <v>201</v>
      </c>
    </row>
    <row r="8" spans="2:4">
      <c r="B8" s="1" t="s">
        <v>41</v>
      </c>
      <c r="C8" s="31"/>
      <c r="D8" s="1" t="s">
        <v>202</v>
      </c>
    </row>
    <row r="9" spans="2:4">
      <c r="B9" s="1" t="s">
        <v>42</v>
      </c>
      <c r="C9" s="33"/>
      <c r="D9" s="1" t="s">
        <v>203</v>
      </c>
    </row>
    <row r="10" spans="2:4">
      <c r="B10" s="1" t="s">
        <v>43</v>
      </c>
      <c r="C10" s="38"/>
      <c r="D10" s="1" t="s">
        <v>204</v>
      </c>
    </row>
    <row r="11" spans="2:4">
      <c r="B11" s="1" t="s">
        <v>83</v>
      </c>
      <c r="C11" s="59"/>
      <c r="D11" s="1" t="s">
        <v>205</v>
      </c>
    </row>
    <row r="12" spans="2:4">
      <c r="B12" s="1" t="s">
        <v>84</v>
      </c>
      <c r="C12" s="60"/>
      <c r="D12" s="1" t="s">
        <v>206</v>
      </c>
    </row>
    <row r="13" spans="2:4">
      <c r="B13" s="1" t="s">
        <v>85</v>
      </c>
      <c r="C13" s="61"/>
      <c r="D13" s="1" t="s">
        <v>207</v>
      </c>
    </row>
    <row r="21" spans="2:4">
      <c r="B21" s="18" t="s">
        <v>208</v>
      </c>
      <c r="C21" s="18"/>
      <c r="D21" s="18"/>
    </row>
    <row r="22" spans="2:4">
      <c r="B22" s="9" t="s">
        <v>60</v>
      </c>
      <c r="C22" s="9" t="s">
        <v>196</v>
      </c>
      <c r="D22" s="9" t="s">
        <v>209</v>
      </c>
    </row>
    <row r="23" spans="2:4">
      <c r="B23" s="1" t="s">
        <v>173</v>
      </c>
      <c r="C23" s="10"/>
      <c r="D23" s="1" t="s">
        <v>210</v>
      </c>
    </row>
    <row r="24" spans="2:4">
      <c r="B24" s="1" t="s">
        <v>174</v>
      </c>
      <c r="C24" s="42"/>
      <c r="D24" s="1" t="s">
        <v>211</v>
      </c>
    </row>
    <row r="25" spans="2:4">
      <c r="B25" s="1" t="s">
        <v>175</v>
      </c>
      <c r="C25" s="16"/>
      <c r="D25" s="1" t="s">
        <v>212</v>
      </c>
    </row>
    <row r="26" spans="2:4">
      <c r="B26" s="1" t="s">
        <v>176</v>
      </c>
      <c r="C26" s="43"/>
      <c r="D26" s="1" t="s">
        <v>213</v>
      </c>
    </row>
    <row r="27" spans="2:4">
      <c r="B27" s="1" t="s">
        <v>51</v>
      </c>
      <c r="C27" s="44"/>
      <c r="D27" s="1" t="s">
        <v>214</v>
      </c>
    </row>
    <row r="28" spans="2:4">
      <c r="B28" s="1" t="s">
        <v>177</v>
      </c>
      <c r="C28" s="45"/>
      <c r="D28" s="1" t="s">
        <v>215</v>
      </c>
    </row>
    <row r="29" spans="2:4">
      <c r="B29" s="1" t="s">
        <v>178</v>
      </c>
      <c r="C29" s="46"/>
      <c r="D29" s="1" t="s">
        <v>216</v>
      </c>
    </row>
    <row r="30" spans="2:4">
      <c r="B30" s="1" t="s">
        <v>179</v>
      </c>
      <c r="C30" s="47"/>
      <c r="D30" s="1" t="s">
        <v>217</v>
      </c>
    </row>
    <row r="31" spans="2:4">
      <c r="B31" s="1" t="s">
        <v>180</v>
      </c>
      <c r="C31" s="48"/>
      <c r="D31" s="1" t="s">
        <v>218</v>
      </c>
    </row>
    <row r="32" spans="2:4">
      <c r="B32" s="1" t="s">
        <v>181</v>
      </c>
      <c r="C32" s="49"/>
      <c r="D32" s="1" t="s">
        <v>219</v>
      </c>
    </row>
    <row r="33" spans="2:4">
      <c r="B33" s="1" t="s">
        <v>182</v>
      </c>
      <c r="C33" s="50"/>
      <c r="D33" s="1" t="s">
        <v>220</v>
      </c>
    </row>
    <row r="34" spans="2:4">
      <c r="B34" s="1" t="s">
        <v>183</v>
      </c>
      <c r="C34" s="51"/>
      <c r="D34" s="1" t="s">
        <v>221</v>
      </c>
    </row>
  </sheetData>
  <mergeCells count="2">
    <mergeCell ref="B1:D1"/>
    <mergeCell ref="B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Monthly Budget</vt:lpstr>
      <vt:lpstr>January 2026</vt:lpstr>
      <vt:lpstr>February 2026</vt:lpstr>
      <vt:lpstr>March 2026</vt:lpstr>
      <vt:lpstr>April 2026</vt:lpstr>
      <vt:lpstr>May 2026</vt:lpstr>
      <vt:lpstr>June 2026</vt:lpstr>
      <vt:lpstr>July 2026</vt:lpstr>
      <vt:lpstr>August 2026</vt:lpstr>
      <vt:lpstr>September 2026</vt:lpstr>
      <vt:lpstr>October 2026</vt:lpstr>
      <vt:lpstr>November 2026</vt:lpstr>
      <vt:lpstr>December 2026</vt:lpstr>
      <vt:lpstr>Budget vs Actual</vt:lpstr>
      <vt:lpstr>Annual Summary</vt:lpstr>
      <vt:lpstr>Charts &amp; Analytics</vt:lpstr>
      <vt:lpstr>Category 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2025-12-29T17:05:13Z</dcterms:created>
  <dcterms:modified xsi:type="dcterms:W3CDTF">2025-12-29T17:05:13Z</dcterms:modified>
</cp:coreProperties>
</file>